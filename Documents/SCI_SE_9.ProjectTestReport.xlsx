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TestReportSprint1" sheetId="3" r:id="rId1"/>
    <sheet name="TestReportSprin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<sst xmlns="http://schemas.openxmlformats.org/spreadsheetml/2006/main" count="178" uniqueCount="148">
  <si>
    <t>Test Report Sprint 1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</si>
  <si>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</si>
  <si>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</si>
  <si>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</si>
  <si>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</si>
  <si>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</si>
  <si>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</si>
  <si>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</si>
  <si>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</si>
  <si>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</si>
  <si>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</si>
  <si>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</si>
  <si>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</si>
  <si>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Functions</t>
  </si>
  <si>
    <t>Description</t>
  </si>
  <si>
    <t>%TC Executed</t>
  </si>
  <si>
    <t>%TC Passed</t>
  </si>
  <si>
    <t>TC Pending</t>
  </si>
  <si>
    <t>Priority</t>
  </si>
  <si>
    <t>Remark</t>
  </si>
  <si>
    <t>Trang chủ</t>
  </si>
  <si>
    <t>Kiểm tra chức năng trang chủ</t>
  </si>
  <si>
    <t>Đăng nhập</t>
  </si>
  <si>
    <t>Kiểm tra chức năng đăng nhập</t>
  </si>
  <si>
    <t>Đăng ký</t>
  </si>
  <si>
    <t>Kiểm tra chức năng đăng ký</t>
  </si>
  <si>
    <t>Quên mật khẩu</t>
  </si>
  <si>
    <t>Kiểm tra chức năng quên mật khẩu</t>
  </si>
  <si>
    <t>Đặt lại mật khẩu</t>
  </si>
  <si>
    <t>Kiểm tra chức năng đặt lại mật khẩu</t>
  </si>
  <si>
    <t>Danh sách việc làm</t>
  </si>
  <si>
    <t>Kiểm tra chức năng danh sách việc làm</t>
  </si>
  <si>
    <t>Chi tiết việc làm</t>
  </si>
  <si>
    <t>Kiểm tra chức năng chi tiết việc làm</t>
  </si>
  <si>
    <t>Tìm kiếm việc làm</t>
  </si>
  <si>
    <t>Kiểm tra chức năng tìm kiếm việc làm</t>
  </si>
  <si>
    <t>Danh sách công ty</t>
  </si>
  <si>
    <t>Kiểm tra chức năng danh sách công ty</t>
  </si>
  <si>
    <t>Chi tiết công ty</t>
  </si>
  <si>
    <t>Kiểm tra chức năng chi tiết công ty</t>
  </si>
  <si>
    <t>Danh sách ngành nghề</t>
  </si>
  <si>
    <t>Kiểm tra chức năng danh sách ngành nghề</t>
  </si>
  <si>
    <t>Chi tiết ngành nghề</t>
  </si>
  <si>
    <t>Kiểm tra chức năng chi tiết ngành nghề</t>
  </si>
  <si>
    <t>Danh sách kỹ năng</t>
  </si>
  <si>
    <t>Kiểm tra chức năng danh sách kỹ năng</t>
  </si>
  <si>
    <t>Chi tiết kỹ năng</t>
  </si>
  <si>
    <t>Kiểm tra chức năng chi tiết kỹ năng</t>
  </si>
  <si>
    <t>Dashboard ứng viên</t>
  </si>
  <si>
    <t>Kiểm tra chức năng dashboard ứng viên</t>
  </si>
  <si>
    <t>Profile ứng viên</t>
  </si>
  <si>
    <t>Kiểm tra chức năng profile ứng viên</t>
  </si>
  <si>
    <t>Quản lý CV</t>
  </si>
  <si>
    <t>Kiểm tra chức năng quản lý CV</t>
  </si>
  <si>
    <t>Quản lý kỹ năng cá nhân</t>
  </si>
  <si>
    <t>Kiểm tra chức năng quản lý kỹ năng cá nhân</t>
  </si>
  <si>
    <t>Việc làm đã lưu</t>
  </si>
  <si>
    <t>Kiểm tra chức năng việc làm đã lưu</t>
  </si>
  <si>
    <t>Công ty theo dõi</t>
  </si>
  <si>
    <t>Kiểm tra chức năng công ty theo dõi</t>
  </si>
  <si>
    <t>Ứng tuyển</t>
  </si>
  <si>
    <t>Kiểm tra chức năng ứng tuyển</t>
  </si>
  <si>
    <t>Theo dõi đơn ứng tuyển</t>
  </si>
  <si>
    <t>Kiểm tra chức năng theo dõi đơn ứng tuyển</t>
  </si>
  <si>
    <t>Matched Jobs</t>
  </si>
  <si>
    <t>Kiểm tra chức năng matched Jobs</t>
  </si>
  <si>
    <t>Career Report</t>
  </si>
  <si>
    <t>Kiểm tra chức năng career Report</t>
  </si>
  <si>
    <t>Tạo CV</t>
  </si>
  <si>
    <t>Kiểm tra chức năng tạo CV</t>
  </si>
  <si>
    <t>Ví AI</t>
  </si>
  <si>
    <t>Kiểm tra chức năng ví AI</t>
  </si>
  <si>
    <t>Gói Pro cho AI Center</t>
  </si>
  <si>
    <t>Kiểm tra chức năng gói pro cho AI Center</t>
  </si>
  <si>
    <t>Lịch sử thanh toán</t>
  </si>
  <si>
    <t>Kiểm tra chức năng lịch sử thanh toán</t>
  </si>
  <si>
    <t>Chi tiết thanh toán</t>
  </si>
  <si>
    <t>Kiểm tra chức năng chi tiết thanh toán</t>
  </si>
  <si>
    <t>Trang trung tâm AI</t>
  </si>
  <si>
    <t>Kiểm tra chức năng trang trung tâm AI</t>
  </si>
  <si>
    <t>Chat tư vấn nghề nghiệp</t>
  </si>
  <si>
    <t>Kiểm tra chức năng chat tư vấn nghề nghiệp</t>
  </si>
  <si>
    <t>Phỏng vấn thử</t>
  </si>
  <si>
    <t>Kiểm tra chức năng phỏng vấn thử</t>
  </si>
  <si>
    <t>Bugs</t>
  </si>
  <si>
    <t>Status</t>
  </si>
  <si>
    <t>Severity</t>
  </si>
  <si>
    <t>Total</t>
  </si>
  <si>
    <t>Open</t>
  </si>
  <si>
    <t>Closed</t>
  </si>
  <si>
    <t>Responding</t>
  </si>
  <si>
    <t>Test Report Sprint 2</t>
  </si>
  <si>
    <r>
      <rPr>
        <sz val="13"/>
        <color rgb="FF000000"/>
        <rFont val="Times New Roman"/>
        <charset val="134"/>
      </rPr>
      <t xml:space="preserve">Dashboard </t>
    </r>
    <r>
      <rPr>
        <sz val="13"/>
        <color theme="1"/>
        <rFont val="Times New Roman"/>
        <charset val="134"/>
      </rPr>
      <t>nhà tuyển dụng</t>
    </r>
  </si>
  <si>
    <t>Kiểm tra chức năng dashboard nhà tuyển dụng</t>
  </si>
  <si>
    <r>
      <rPr>
        <sz val="13"/>
        <color rgb="FF000000"/>
        <rFont val="Times New Roman"/>
        <charset val="134"/>
      </rPr>
      <t xml:space="preserve">Profile </t>
    </r>
    <r>
      <rPr>
        <sz val="13"/>
        <color theme="1"/>
        <rFont val="Times New Roman"/>
        <charset val="134"/>
      </rPr>
      <t>nhà tuyển dụng</t>
    </r>
  </si>
  <si>
    <t>Kiểm tra chức năng profile nhà tuyển dụng</t>
  </si>
  <si>
    <r>
      <rPr>
        <sz val="13"/>
        <color rgb="FF000000"/>
        <rFont val="Times New Roman"/>
        <charset val="134"/>
      </rPr>
      <t>Quản lý tin tuyển dụng (N</t>
    </r>
    <r>
      <rPr>
        <sz val="13"/>
        <color theme="1"/>
        <rFont val="Times New Roman"/>
        <charset val="134"/>
      </rPr>
      <t>hà tuyển dụng</t>
    </r>
    <r>
      <rPr>
        <sz val="13"/>
        <color rgb="FF000000"/>
        <rFont val="Times New Roman"/>
        <charset val="134"/>
      </rPr>
      <t>)</t>
    </r>
  </si>
  <si>
    <t>Kiểm tra chức năng quản lý tin tuyển dụng phía nhà tuyển dụng</t>
  </si>
  <si>
    <r>
      <rPr>
        <sz val="13"/>
        <color rgb="FF000000"/>
        <rFont val="Times New Roman"/>
        <charset val="134"/>
      </rPr>
      <t>Chi tiết tin tuyển dụng (N</t>
    </r>
    <r>
      <rPr>
        <sz val="13"/>
        <color theme="1"/>
        <rFont val="Times New Roman"/>
        <charset val="134"/>
      </rPr>
      <t>hà tuyển dụng</t>
    </r>
    <r>
      <rPr>
        <sz val="13"/>
        <color rgb="FF000000"/>
        <rFont val="Times New Roman"/>
        <charset val="134"/>
      </rPr>
      <t>)</t>
    </r>
  </si>
  <si>
    <t>Kiểm tra chức năng chi tiết tin tuyển dụng phía nhà tuyển dụng</t>
  </si>
  <si>
    <r>
      <rPr>
        <sz val="13"/>
        <color rgb="FF000000"/>
        <rFont val="Times New Roman"/>
        <charset val="134"/>
      </rPr>
      <t>Quản lý ứng viên (N</t>
    </r>
    <r>
      <rPr>
        <sz val="13"/>
        <color theme="1"/>
        <rFont val="Times New Roman"/>
        <charset val="134"/>
      </rPr>
      <t>hà tuyển dụng</t>
    </r>
    <r>
      <rPr>
        <sz val="13"/>
        <color rgb="FF000000"/>
        <rFont val="Times New Roman"/>
        <charset val="134"/>
      </rPr>
      <t>)</t>
    </r>
  </si>
  <si>
    <t>Kiểm tra chức năng quản lý ứng viên</t>
  </si>
  <si>
    <t>Ví và Billing (Nhà tuyển dụng)</t>
  </si>
  <si>
    <t>Kiểm tra chức năng ví và billing</t>
  </si>
  <si>
    <t>Quản lý nhân sự HR (Nhà tuyển dụng)</t>
  </si>
  <si>
    <t>Kiểm tra chức năng quản lý nhân sự HR</t>
  </si>
  <si>
    <t>Nhật ký công ty (Nhà tuyển dụng)</t>
  </si>
  <si>
    <t>Kiểm tra chức năng nhật ký công ty</t>
  </si>
  <si>
    <r>
      <rPr>
        <sz val="13"/>
        <color rgb="FF000000"/>
        <rFont val="Times New Roman"/>
        <charset val="134"/>
      </rPr>
      <t>Quản lý phỏng vấn (N</t>
    </r>
    <r>
      <rPr>
        <sz val="13"/>
        <color theme="1"/>
        <rFont val="Times New Roman"/>
        <charset val="134"/>
      </rPr>
      <t>hà tuyển dụng</t>
    </r>
    <r>
      <rPr>
        <sz val="13"/>
        <color rgb="FF000000"/>
        <rFont val="Times New Roman"/>
        <charset val="134"/>
      </rPr>
      <t>)</t>
    </r>
  </si>
  <si>
    <t>Kiểm tra chức năng quản lý phỏng vấn</t>
  </si>
  <si>
    <r>
      <rPr>
        <sz val="13"/>
        <color rgb="FF000000"/>
        <rFont val="Times New Roman"/>
        <charset val="134"/>
      </rPr>
      <t>Thông tin công ty (N</t>
    </r>
    <r>
      <rPr>
        <sz val="13"/>
        <color theme="1"/>
        <rFont val="Times New Roman"/>
        <charset val="134"/>
      </rPr>
      <t>hà tuyển dụng</t>
    </r>
    <r>
      <rPr>
        <sz val="13"/>
        <color rgb="FF000000"/>
        <rFont val="Times New Roman"/>
        <charset val="134"/>
      </rPr>
      <t>)</t>
    </r>
  </si>
  <si>
    <t>Kiểm tra chức năng thông tin công ty</t>
  </si>
  <si>
    <t>Dashboard admin</t>
  </si>
  <si>
    <t>Kiểm tra chức năng dashboard admin</t>
  </si>
  <si>
    <t>Profile admin</t>
  </si>
  <si>
    <t>Kiểm tra chức năng profile admin</t>
  </si>
  <si>
    <t>Quản lý admin</t>
  </si>
  <si>
    <t>Kiểm tra chức năng quản lý admin</t>
  </si>
  <si>
    <t>Quản lý người dùng</t>
  </si>
  <si>
    <t>Kiểm tra chức năng quản lý người dùng</t>
  </si>
  <si>
    <t>Quản lý công ty</t>
  </si>
  <si>
    <t>Kiểm tra chức năng quản lý công ty</t>
  </si>
  <si>
    <t>Quản lý hồ sơ</t>
  </si>
  <si>
    <t>Kiểm tra chức năng quản lý hồ sơ</t>
  </si>
  <si>
    <t>Quản lý kỹ năng người dùng</t>
  </si>
  <si>
    <t>Kiểm tra chức năng quản lý kỹ năng người dùng</t>
  </si>
  <si>
    <t>Quản lý kết quả matching</t>
  </si>
  <si>
    <t>Kiểm tra chức năng quản lý kết quả matching</t>
  </si>
  <si>
    <t>Quản lý tư vấn nghề nghiệp</t>
  </si>
  <si>
    <t>Kiểm tra chức năng quản lý tư vấn nghề nghiệp</t>
  </si>
  <si>
    <t>Quản lý sử dụng AI</t>
  </si>
  <si>
    <t>Kiểm tra chức năng quản lý sử dụng AI</t>
  </si>
  <si>
    <t>Quản lý thanh toán</t>
  </si>
  <si>
    <t>Kiểm tra chức năng quản lý thanh toán</t>
  </si>
  <si>
    <t>Quản lý ứng tuyển</t>
  </si>
  <si>
    <t>Kiểm tra chức năng quản lý ứng tuyển</t>
  </si>
  <si>
    <t>Quản lý kỹ năng</t>
  </si>
  <si>
    <t>Kiểm tra chức năng quản lý kỹ năng</t>
  </si>
  <si>
    <t>Quản lý ngành nghề</t>
  </si>
  <si>
    <t>Kiểm tra chức năng quản lý ngành nghề</t>
  </si>
  <si>
    <t>Quản lý tin tuyển dụng</t>
  </si>
  <si>
    <t>Kiểm tra chức năng quản lý tin tuyển dụng</t>
  </si>
  <si>
    <t>Quản lý template cv</t>
  </si>
  <si>
    <t>Kiểm tra chức năng quản lý template cv</t>
  </si>
  <si>
    <t>Nhật ký hệ thống</t>
  </si>
  <si>
    <t>Kiểm tra chức năng nhật ký hệ thống</t>
  </si>
  <si>
    <t>Báo cáo và phân tích</t>
  </si>
  <si>
    <t>Kiểm tra chức năng báo cáo và phân tích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</si>
</sst>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8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sz val="20"/>
      <color theme="1"/>
      <name val="Times New Roman"/>
      <charset val="134"/>
    </font>
    <font>
      <b/>
      <sz val="13"/>
      <color theme="1"/>
      <name val="Times New Roman"/>
      <charset val="134"/>
    </font>
    <font>
      <sz val="13"/>
      <color rgb="FF006100"/>
      <name val="Times New Roman"/>
      <charset val="134"/>
    </font>
    <font>
      <sz val="13"/>
      <color rgb="FF9C0006"/>
      <name val="Times New Roman"/>
      <charset val="134"/>
    </font>
    <font>
      <sz val="13"/>
      <color rgb="FF000000"/>
      <name val="Times New Roman"/>
      <charset val="134"/>
    </font>
    <font>
      <sz val="13"/>
      <color rgb="FF222222"/>
      <name val="Times New Roman"/>
      <charset val="134"/>
    </font>
    <font>
      <sz val="13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8" applyNumberFormat="0" applyAlignment="0" applyProtection="0">
      <alignment vertical="center"/>
    </xf>
    <xf numFmtId="0" fontId="18" fillId="8" borderId="19" applyNumberFormat="0" applyAlignment="0" applyProtection="0">
      <alignment vertical="center"/>
    </xf>
    <xf numFmtId="0" fontId="19" fillId="8" borderId="18" applyNumberFormat="0" applyAlignment="0" applyProtection="0">
      <alignment vertical="center"/>
    </xf>
    <xf numFmtId="0" fontId="20" fillId="9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60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wrapText="1"/>
    </xf>
    <xf numFmtId="0" fontId="1" fillId="0" borderId="5" xfId="0" applyFont="1" applyFill="1" applyBorder="1" applyAlignment="1">
      <alignment wrapText="1"/>
    </xf>
    <xf numFmtId="0" fontId="3" fillId="0" borderId="6" xfId="0" applyFont="1" applyFill="1" applyBorder="1" applyAlignment="1">
      <alignment wrapText="1"/>
    </xf>
    <xf numFmtId="0" fontId="3" fillId="0" borderId="7" xfId="0" applyFont="1" applyFill="1" applyBorder="1" applyAlignment="1">
      <alignment horizontal="left" wrapText="1"/>
    </xf>
    <xf numFmtId="0" fontId="3" fillId="0" borderId="8" xfId="0" applyFont="1" applyFill="1" applyBorder="1" applyAlignment="1">
      <alignment horizontal="left" wrapText="1"/>
    </xf>
    <xf numFmtId="0" fontId="1" fillId="0" borderId="3" xfId="0" applyFont="1" applyFill="1" applyBorder="1" applyAlignment="1">
      <alignment wrapText="1"/>
    </xf>
    <xf numFmtId="0" fontId="3" fillId="0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wrapText="1"/>
    </xf>
    <xf numFmtId="0" fontId="4" fillId="3" borderId="6" xfId="0" applyFont="1" applyFill="1" applyBorder="1" applyAlignment="1">
      <alignment horizontal="right" wrapText="1"/>
    </xf>
    <xf numFmtId="0" fontId="5" fillId="4" borderId="6" xfId="0" applyFont="1" applyFill="1" applyBorder="1" applyAlignment="1">
      <alignment wrapText="1"/>
    </xf>
    <xf numFmtId="0" fontId="5" fillId="4" borderId="6" xfId="0" applyFont="1" applyFill="1" applyBorder="1" applyAlignment="1">
      <alignment horizontal="right" wrapText="1"/>
    </xf>
    <xf numFmtId="0" fontId="3" fillId="0" borderId="6" xfId="0" applyFont="1" applyFill="1" applyBorder="1" applyAlignment="1">
      <alignment horizontal="right" wrapText="1"/>
    </xf>
    <xf numFmtId="0" fontId="1" fillId="0" borderId="6" xfId="0" applyFont="1" applyFill="1" applyBorder="1" applyAlignment="1">
      <alignment wrapText="1"/>
    </xf>
    <xf numFmtId="0" fontId="1" fillId="0" borderId="6" xfId="0" applyFont="1" applyFill="1" applyBorder="1" applyAlignment="1">
      <alignment horizontal="right" wrapText="1"/>
    </xf>
    <xf numFmtId="0" fontId="3" fillId="0" borderId="6" xfId="0" applyFont="1" applyFill="1" applyBorder="1" applyAlignment="1">
      <alignment horizontal="center" wrapText="1"/>
    </xf>
    <xf numFmtId="0" fontId="1" fillId="0" borderId="9" xfId="0" applyFont="1" applyFill="1" applyBorder="1" applyAlignment="1">
      <alignment wrapText="1"/>
    </xf>
    <xf numFmtId="0" fontId="3" fillId="2" borderId="6" xfId="0" applyFont="1" applyFill="1" applyBorder="1" applyAlignment="1">
      <alignment horizontal="center" wrapText="1"/>
    </xf>
    <xf numFmtId="0" fontId="6" fillId="0" borderId="6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 wrapText="1"/>
    </xf>
    <xf numFmtId="9" fontId="1" fillId="0" borderId="6" xfId="0" applyNumberFormat="1" applyFont="1" applyFill="1" applyBorder="1" applyAlignment="1">
      <alignment horizontal="right" wrapText="1"/>
    </xf>
    <xf numFmtId="0" fontId="1" fillId="0" borderId="6" xfId="0" applyFont="1" applyFill="1" applyBorder="1" applyAlignment="1">
      <alignment vertical="center"/>
    </xf>
    <xf numFmtId="0" fontId="1" fillId="0" borderId="0" xfId="0" applyFont="1" applyFill="1" applyBorder="1" applyAlignment="1">
      <alignment wrapText="1"/>
    </xf>
    <xf numFmtId="0" fontId="1" fillId="0" borderId="10" xfId="0" applyFont="1" applyFill="1" applyBorder="1" applyAlignment="1">
      <alignment wrapText="1"/>
    </xf>
    <xf numFmtId="0" fontId="1" fillId="0" borderId="11" xfId="0" applyFont="1" applyFill="1" applyBorder="1" applyAlignment="1">
      <alignment wrapText="1"/>
    </xf>
    <xf numFmtId="0" fontId="7" fillId="5" borderId="6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8" fillId="0" borderId="6" xfId="0" applyFont="1" applyFill="1" applyBorder="1" applyAlignment="1">
      <alignment horizontal="right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2" borderId="6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1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  <xf numFmtId="0" fontId="1" fillId="0" borderId="3" xfId="0" applyFont="1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right" wrapText="1"/>
    </xf>
    <xf numFmtId="0" fontId="3" fillId="0" borderId="6" xfId="0" applyFont="1" applyBorder="1" applyAlignment="1">
      <alignment horizontal="center" wrapText="1"/>
    </xf>
    <xf numFmtId="0" fontId="1" fillId="0" borderId="9" xfId="0" applyFont="1" applyBorder="1" applyAlignment="1">
      <alignment wrapText="1"/>
    </xf>
    <xf numFmtId="9" fontId="1" fillId="0" borderId="6" xfId="0" applyNumberFormat="1" applyFont="1" applyBorder="1" applyAlignment="1">
      <alignment horizontal="right" wrapText="1"/>
    </xf>
    <xf numFmtId="0" fontId="1" fillId="0" borderId="0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3" fillId="0" borderId="12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right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Z1025"/>
  <sheetViews>
    <sheetView tabSelected="1" zoomScale="80" zoomScaleNormal="80" workbookViewId="0">
      <selection activeCell="B22" sqref="B22"/>
    </sheetView>
  </sheetViews>
  <sheetFormatPr defaultColWidth="8.88888888888889" defaultRowHeight="16.8"/>
  <cols>
    <col min="1" max="1" width="30.1111111111111" style="35" customWidth="1"/>
    <col min="2" max="2" width="70.8888888888889" style="35" customWidth="1"/>
    <col min="3" max="3" width="26.6666666666667" style="35" customWidth="1"/>
    <col min="4" max="4" width="18.1111111111111" style="35" customWidth="1"/>
    <col min="5" max="5" width="17.5555555555556" style="35" customWidth="1"/>
    <col min="6" max="7" width="11.6666666666667" style="35" customWidth="1"/>
    <col min="8" max="16384" width="8.88888888888889" style="35"/>
  </cols>
  <sheetData>
    <row r="4" s="34" customFormat="1" ht="25.35" spans="1:26">
      <c r="A4" s="36" t="s">
        <v>0</v>
      </c>
      <c r="B4" s="36"/>
      <c r="C4" s="36"/>
      <c r="D4" s="36"/>
      <c r="E4" s="36"/>
      <c r="F4" s="36"/>
      <c r="G4" s="36"/>
      <c r="H4" s="37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ht="17.55" spans="1:26">
      <c r="A5" s="38"/>
      <c r="B5" s="38"/>
      <c r="C5" s="38"/>
      <c r="D5" s="38"/>
      <c r="E5" s="38"/>
      <c r="F5" s="38"/>
      <c r="G5" s="38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17.55" spans="1:26">
      <c r="A6" s="40"/>
      <c r="B6" s="40"/>
      <c r="C6" s="40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6.95" customHeight="1" spans="1:26">
      <c r="A7" s="41" t="s">
        <v>1</v>
      </c>
      <c r="B7" s="42" t="s">
        <v>2</v>
      </c>
      <c r="C7" s="43"/>
      <c r="D7" s="44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16.95" customHeight="1" spans="1:26">
      <c r="A8" s="45" t="s">
        <v>3</v>
      </c>
      <c r="B8" s="14" t="s">
        <v>4</v>
      </c>
      <c r="C8" s="15">
        <v>1285</v>
      </c>
      <c r="D8" s="44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16.95" customHeight="1" spans="1:26">
      <c r="A9" s="45"/>
      <c r="B9" s="16" t="s">
        <v>5</v>
      </c>
      <c r="C9" s="17">
        <v>6</v>
      </c>
      <c r="D9" s="44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16.95" customHeight="1" spans="1:26">
      <c r="A10" s="45"/>
      <c r="B10" s="41" t="s">
        <v>6</v>
      </c>
      <c r="C10" s="46">
        <f>SUM(C8,C9)</f>
        <v>1291</v>
      </c>
      <c r="D10" s="44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16.95" customHeight="1" spans="1:26">
      <c r="A11" s="45" t="s">
        <v>7</v>
      </c>
      <c r="B11" s="47" t="s">
        <v>8</v>
      </c>
      <c r="C11" s="48">
        <v>0</v>
      </c>
      <c r="D11" s="44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16.95" customHeight="1" spans="1:26">
      <c r="A12" s="45"/>
      <c r="B12" s="47" t="s">
        <v>9</v>
      </c>
      <c r="C12" s="48">
        <v>0</v>
      </c>
      <c r="D12" s="44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16.95" customHeight="1" spans="1:26">
      <c r="A13" s="45"/>
      <c r="B13" s="47" t="s">
        <v>10</v>
      </c>
      <c r="C13" s="48">
        <v>0</v>
      </c>
      <c r="D13" s="44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16.95" customHeight="1" spans="1:26">
      <c r="A14" s="45"/>
      <c r="B14" s="41" t="s">
        <v>11</v>
      </c>
      <c r="C14" s="46">
        <v>1291</v>
      </c>
      <c r="D14" s="44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16.95" customHeight="1" spans="1:26">
      <c r="A15" s="49" t="s">
        <v>12</v>
      </c>
      <c r="B15" s="49"/>
      <c r="C15" s="46">
        <f>SUM(C10,C14)</f>
        <v>2582</v>
      </c>
      <c r="D15" s="44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17.55" spans="1:26">
      <c r="A16" s="50"/>
      <c r="B16" s="50"/>
      <c r="C16" s="50"/>
      <c r="D16" s="40"/>
      <c r="E16" s="40"/>
      <c r="F16" s="40"/>
      <c r="G16" s="40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16.95" customHeight="1" spans="1:26">
      <c r="A17" s="23" t="s">
        <v>13</v>
      </c>
      <c r="B17" s="23" t="s">
        <v>14</v>
      </c>
      <c r="C17" s="23" t="s">
        <v>15</v>
      </c>
      <c r="D17" s="23" t="s">
        <v>16</v>
      </c>
      <c r="E17" s="23" t="s">
        <v>17</v>
      </c>
      <c r="F17" s="23" t="s">
        <v>18</v>
      </c>
      <c r="G17" s="23" t="s">
        <v>19</v>
      </c>
      <c r="H17" s="44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16.95" customHeight="1" spans="1:26">
      <c r="A18" s="27" t="s">
        <v>20</v>
      </c>
      <c r="B18" s="27" t="s">
        <v>21</v>
      </c>
      <c r="C18" s="51">
        <v>1</v>
      </c>
      <c r="D18" s="51">
        <f>(27/29)*100%</f>
        <v>0.931034482758621</v>
      </c>
      <c r="E18" s="48">
        <v>0</v>
      </c>
      <c r="F18" s="19">
        <v>2</v>
      </c>
      <c r="G18" s="47"/>
      <c r="H18" s="44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ht="16.95" customHeight="1" spans="1:26">
      <c r="A19" s="27" t="s">
        <v>22</v>
      </c>
      <c r="B19" s="27" t="s">
        <v>23</v>
      </c>
      <c r="C19" s="51">
        <v>1</v>
      </c>
      <c r="D19" s="51">
        <v>1</v>
      </c>
      <c r="E19" s="48">
        <v>0</v>
      </c>
      <c r="F19" s="19">
        <v>2</v>
      </c>
      <c r="G19" s="47"/>
      <c r="H19" s="44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ht="16.95" customHeight="1" spans="1:26">
      <c r="A20" s="27" t="s">
        <v>24</v>
      </c>
      <c r="B20" s="27" t="s">
        <v>25</v>
      </c>
      <c r="C20" s="51">
        <v>1</v>
      </c>
      <c r="D20" s="51">
        <v>1</v>
      </c>
      <c r="E20" s="48">
        <v>0</v>
      </c>
      <c r="F20" s="19">
        <v>2</v>
      </c>
      <c r="G20" s="47"/>
      <c r="H20" s="44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ht="16.95" customHeight="1" spans="1:26">
      <c r="A21" s="27" t="s">
        <v>26</v>
      </c>
      <c r="B21" s="27" t="s">
        <v>27</v>
      </c>
      <c r="C21" s="51">
        <v>1</v>
      </c>
      <c r="D21" s="51">
        <v>1</v>
      </c>
      <c r="E21" s="48">
        <v>0</v>
      </c>
      <c r="F21" s="19">
        <v>2</v>
      </c>
      <c r="G21" s="47"/>
      <c r="H21" s="44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ht="16.95" customHeight="1" spans="1:26">
      <c r="A22" s="27" t="s">
        <v>28</v>
      </c>
      <c r="B22" s="27" t="s">
        <v>29</v>
      </c>
      <c r="C22" s="51">
        <v>1</v>
      </c>
      <c r="D22" s="51">
        <v>1</v>
      </c>
      <c r="E22" s="48">
        <v>0</v>
      </c>
      <c r="F22" s="19">
        <v>2</v>
      </c>
      <c r="G22" s="47"/>
      <c r="H22" s="44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ht="16.95" customHeight="1" spans="1:26">
      <c r="A23" s="27" t="s">
        <v>30</v>
      </c>
      <c r="B23" s="27" t="s">
        <v>31</v>
      </c>
      <c r="C23" s="51">
        <v>1</v>
      </c>
      <c r="D23" s="51">
        <v>1</v>
      </c>
      <c r="E23" s="48">
        <v>0</v>
      </c>
      <c r="F23" s="19">
        <v>2</v>
      </c>
      <c r="G23" s="47"/>
      <c r="H23" s="44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ht="16.95" customHeight="1" spans="1:26">
      <c r="A24" s="27" t="s">
        <v>32</v>
      </c>
      <c r="B24" s="27" t="s">
        <v>33</v>
      </c>
      <c r="C24" s="51">
        <v>1</v>
      </c>
      <c r="D24" s="51">
        <v>1</v>
      </c>
      <c r="E24" s="48">
        <v>0</v>
      </c>
      <c r="F24" s="19">
        <v>2</v>
      </c>
      <c r="G24" s="47"/>
      <c r="H24" s="44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ht="16.95" customHeight="1" spans="1:26">
      <c r="A25" s="27" t="s">
        <v>34</v>
      </c>
      <c r="B25" s="27" t="s">
        <v>35</v>
      </c>
      <c r="C25" s="51">
        <v>1</v>
      </c>
      <c r="D25" s="51">
        <v>1</v>
      </c>
      <c r="E25" s="48">
        <v>0</v>
      </c>
      <c r="F25" s="19">
        <v>2</v>
      </c>
      <c r="G25" s="47"/>
      <c r="H25" s="44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ht="16.95" customHeight="1" spans="1:26">
      <c r="A26" s="27" t="s">
        <v>36</v>
      </c>
      <c r="B26" s="27" t="s">
        <v>37</v>
      </c>
      <c r="C26" s="51">
        <v>1</v>
      </c>
      <c r="D26" s="51">
        <v>1</v>
      </c>
      <c r="E26" s="48">
        <v>0</v>
      </c>
      <c r="F26" s="19">
        <v>2</v>
      </c>
      <c r="G26" s="47"/>
      <c r="H26" s="44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ht="16.95" customHeight="1" spans="1:26">
      <c r="A27" s="27" t="s">
        <v>38</v>
      </c>
      <c r="B27" s="27" t="s">
        <v>39</v>
      </c>
      <c r="C27" s="51">
        <v>1</v>
      </c>
      <c r="D27" s="51">
        <v>1</v>
      </c>
      <c r="E27" s="48">
        <v>0</v>
      </c>
      <c r="F27" s="19">
        <v>2</v>
      </c>
      <c r="G27" s="47"/>
      <c r="H27" s="44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ht="16.95" customHeight="1" spans="1:26">
      <c r="A28" s="27" t="s">
        <v>40</v>
      </c>
      <c r="B28" s="27" t="s">
        <v>41</v>
      </c>
      <c r="C28" s="51">
        <v>1</v>
      </c>
      <c r="D28" s="51">
        <v>1</v>
      </c>
      <c r="E28" s="48">
        <v>0</v>
      </c>
      <c r="F28" s="19">
        <v>2</v>
      </c>
      <c r="G28" s="47"/>
      <c r="H28" s="44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ht="16.95" customHeight="1" spans="1:26">
      <c r="A29" s="27" t="s">
        <v>42</v>
      </c>
      <c r="B29" s="27" t="s">
        <v>43</v>
      </c>
      <c r="C29" s="51">
        <v>1</v>
      </c>
      <c r="D29" s="51">
        <v>1</v>
      </c>
      <c r="E29" s="48">
        <v>0</v>
      </c>
      <c r="F29" s="19">
        <v>2</v>
      </c>
      <c r="G29" s="47"/>
      <c r="H29" s="44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ht="16.95" customHeight="1" spans="1:26">
      <c r="A30" s="27" t="s">
        <v>44</v>
      </c>
      <c r="B30" s="27" t="s">
        <v>45</v>
      </c>
      <c r="C30" s="51">
        <v>1</v>
      </c>
      <c r="D30" s="51">
        <v>1</v>
      </c>
      <c r="E30" s="48">
        <v>0</v>
      </c>
      <c r="F30" s="19">
        <v>2</v>
      </c>
      <c r="G30" s="47"/>
      <c r="H30" s="44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ht="16.95" customHeight="1" spans="1:26">
      <c r="A31" s="27" t="s">
        <v>46</v>
      </c>
      <c r="B31" s="27" t="s">
        <v>47</v>
      </c>
      <c r="C31" s="51">
        <v>1</v>
      </c>
      <c r="D31" s="51">
        <v>1</v>
      </c>
      <c r="E31" s="48">
        <v>0</v>
      </c>
      <c r="F31" s="19">
        <v>2</v>
      </c>
      <c r="G31" s="47"/>
      <c r="H31" s="44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ht="16.95" customHeight="1" spans="1:26">
      <c r="A32" s="27" t="s">
        <v>48</v>
      </c>
      <c r="B32" s="27" t="s">
        <v>49</v>
      </c>
      <c r="C32" s="51">
        <v>1</v>
      </c>
      <c r="D32" s="51">
        <v>1</v>
      </c>
      <c r="E32" s="48">
        <v>0</v>
      </c>
      <c r="F32" s="19">
        <v>2</v>
      </c>
      <c r="G32" s="47"/>
      <c r="H32" s="44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ht="16.95" customHeight="1" spans="1:26">
      <c r="A33" s="27" t="s">
        <v>50</v>
      </c>
      <c r="B33" s="27" t="s">
        <v>51</v>
      </c>
      <c r="C33" s="51">
        <v>1</v>
      </c>
      <c r="D33" s="51">
        <v>1</v>
      </c>
      <c r="E33" s="48">
        <v>0</v>
      </c>
      <c r="F33" s="19">
        <v>2</v>
      </c>
      <c r="G33" s="47"/>
      <c r="H33" s="44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ht="16.95" customHeight="1" spans="1:26">
      <c r="A34" s="27" t="s">
        <v>52</v>
      </c>
      <c r="B34" s="27" t="s">
        <v>53</v>
      </c>
      <c r="C34" s="51">
        <v>1</v>
      </c>
      <c r="D34" s="51">
        <v>1</v>
      </c>
      <c r="E34" s="48">
        <v>0</v>
      </c>
      <c r="F34" s="19">
        <v>3</v>
      </c>
      <c r="G34" s="47"/>
      <c r="H34" s="44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ht="16.95" customHeight="1" spans="1:26">
      <c r="A35" s="27" t="s">
        <v>54</v>
      </c>
      <c r="B35" s="27" t="s">
        <v>55</v>
      </c>
      <c r="C35" s="51">
        <v>1</v>
      </c>
      <c r="D35" s="51">
        <v>1</v>
      </c>
      <c r="E35" s="48">
        <v>0</v>
      </c>
      <c r="F35" s="19">
        <v>3</v>
      </c>
      <c r="G35" s="47"/>
      <c r="H35" s="44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16.95" customHeight="1" spans="1:26">
      <c r="A36" s="27" t="s">
        <v>56</v>
      </c>
      <c r="B36" s="27" t="s">
        <v>57</v>
      </c>
      <c r="C36" s="51">
        <v>1</v>
      </c>
      <c r="D36" s="51">
        <v>1</v>
      </c>
      <c r="E36" s="48">
        <v>0</v>
      </c>
      <c r="F36" s="19">
        <v>2</v>
      </c>
      <c r="G36" s="47"/>
      <c r="H36" s="44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6.95" customHeight="1" spans="1:26">
      <c r="A37" s="27" t="s">
        <v>58</v>
      </c>
      <c r="B37" s="27" t="s">
        <v>59</v>
      </c>
      <c r="C37" s="51">
        <v>1</v>
      </c>
      <c r="D37" s="51">
        <v>1</v>
      </c>
      <c r="E37" s="48">
        <v>0</v>
      </c>
      <c r="F37" s="19">
        <v>3</v>
      </c>
      <c r="G37" s="47"/>
      <c r="H37" s="44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6.95" customHeight="1" spans="1:26">
      <c r="A38" s="27" t="s">
        <v>60</v>
      </c>
      <c r="B38" s="27" t="s">
        <v>61</v>
      </c>
      <c r="C38" s="51">
        <v>1</v>
      </c>
      <c r="D38" s="51">
        <v>1</v>
      </c>
      <c r="E38" s="48">
        <v>0</v>
      </c>
      <c r="F38" s="19">
        <v>2</v>
      </c>
      <c r="G38" s="47"/>
      <c r="H38" s="44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6.95" customHeight="1" spans="1:26">
      <c r="A39" s="27" t="s">
        <v>62</v>
      </c>
      <c r="B39" s="27" t="s">
        <v>63</v>
      </c>
      <c r="C39" s="51">
        <v>1</v>
      </c>
      <c r="D39" s="51">
        <v>1</v>
      </c>
      <c r="E39" s="48">
        <v>0</v>
      </c>
      <c r="F39" s="19">
        <v>3</v>
      </c>
      <c r="G39" s="47"/>
      <c r="H39" s="44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6.95" customHeight="1" spans="1:26">
      <c r="A40" s="27" t="s">
        <v>64</v>
      </c>
      <c r="B40" s="27" t="s">
        <v>65</v>
      </c>
      <c r="C40" s="51">
        <v>1</v>
      </c>
      <c r="D40" s="51">
        <v>1</v>
      </c>
      <c r="E40" s="48">
        <v>0</v>
      </c>
      <c r="F40" s="19">
        <v>3</v>
      </c>
      <c r="G40" s="47"/>
      <c r="H40" s="44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6.95" customHeight="1" spans="1:26">
      <c r="A41" s="27" t="s">
        <v>66</v>
      </c>
      <c r="B41" s="27" t="s">
        <v>67</v>
      </c>
      <c r="C41" s="51">
        <v>1</v>
      </c>
      <c r="D41" s="51">
        <v>1</v>
      </c>
      <c r="E41" s="48">
        <v>0</v>
      </c>
      <c r="F41" s="19">
        <v>3</v>
      </c>
      <c r="G41" s="47"/>
      <c r="H41" s="44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6.95" customHeight="1" spans="1:26">
      <c r="A42" s="27" t="s">
        <v>68</v>
      </c>
      <c r="B42" s="27" t="s">
        <v>69</v>
      </c>
      <c r="C42" s="51">
        <v>1</v>
      </c>
      <c r="D42" s="51">
        <v>1</v>
      </c>
      <c r="E42" s="48">
        <v>0</v>
      </c>
      <c r="F42" s="19">
        <v>2</v>
      </c>
      <c r="G42" s="47"/>
      <c r="H42" s="44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6.95" customHeight="1" spans="1:26">
      <c r="A43" s="27" t="s">
        <v>70</v>
      </c>
      <c r="B43" s="27" t="s">
        <v>71</v>
      </c>
      <c r="C43" s="51">
        <v>1</v>
      </c>
      <c r="D43" s="51">
        <f>(55/57)*100%</f>
        <v>0.964912280701754</v>
      </c>
      <c r="E43" s="48">
        <v>0</v>
      </c>
      <c r="F43" s="19">
        <v>2</v>
      </c>
      <c r="G43" s="47"/>
      <c r="H43" s="44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6.95" customHeight="1" spans="1:26">
      <c r="A44" s="27" t="s">
        <v>72</v>
      </c>
      <c r="B44" s="27" t="s">
        <v>73</v>
      </c>
      <c r="C44" s="51">
        <v>1</v>
      </c>
      <c r="D44" s="51">
        <v>1</v>
      </c>
      <c r="E44" s="48">
        <v>0</v>
      </c>
      <c r="F44" s="19">
        <v>3</v>
      </c>
      <c r="G44" s="47"/>
      <c r="H44" s="44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6.95" customHeight="1" spans="1:26">
      <c r="A45" s="27" t="s">
        <v>74</v>
      </c>
      <c r="B45" s="27" t="s">
        <v>75</v>
      </c>
      <c r="C45" s="51">
        <v>1</v>
      </c>
      <c r="D45" s="51">
        <v>1</v>
      </c>
      <c r="E45" s="48">
        <v>0</v>
      </c>
      <c r="F45" s="19">
        <v>2</v>
      </c>
      <c r="G45" s="47"/>
      <c r="H45" s="44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6.95" customHeight="1" spans="1:26">
      <c r="A46" s="27" t="s">
        <v>76</v>
      </c>
      <c r="B46" s="27" t="s">
        <v>77</v>
      </c>
      <c r="C46" s="51">
        <v>1</v>
      </c>
      <c r="D46" s="51">
        <v>1</v>
      </c>
      <c r="E46" s="48">
        <v>0</v>
      </c>
      <c r="F46" s="19">
        <v>2</v>
      </c>
      <c r="G46" s="47"/>
      <c r="H46" s="44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6.95" customHeight="1" spans="1:26">
      <c r="A47" s="27" t="s">
        <v>78</v>
      </c>
      <c r="B47" s="27" t="s">
        <v>79</v>
      </c>
      <c r="C47" s="51">
        <v>1</v>
      </c>
      <c r="D47" s="51">
        <v>1</v>
      </c>
      <c r="E47" s="48">
        <v>0</v>
      </c>
      <c r="F47" s="19">
        <v>2</v>
      </c>
      <c r="G47" s="47"/>
      <c r="H47" s="44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6.95" customHeight="1" spans="1:26">
      <c r="A48" s="27" t="s">
        <v>80</v>
      </c>
      <c r="B48" s="27" t="s">
        <v>81</v>
      </c>
      <c r="C48" s="51">
        <v>1</v>
      </c>
      <c r="D48" s="51">
        <f>(35/36)*100%</f>
        <v>0.972222222222222</v>
      </c>
      <c r="E48" s="48">
        <v>0</v>
      </c>
      <c r="F48" s="19">
        <v>2</v>
      </c>
      <c r="G48" s="47"/>
      <c r="H48" s="44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6.95" customHeight="1" spans="1:26">
      <c r="A49" s="27" t="s">
        <v>82</v>
      </c>
      <c r="B49" s="27" t="s">
        <v>83</v>
      </c>
      <c r="C49" s="51">
        <v>1</v>
      </c>
      <c r="D49" s="51">
        <f>(36/37)*100%</f>
        <v>0.972972972972973</v>
      </c>
      <c r="E49" s="48">
        <v>0</v>
      </c>
      <c r="F49" s="19">
        <v>2</v>
      </c>
      <c r="G49" s="47"/>
      <c r="H49" s="44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6.95" customHeight="1" spans="1:26">
      <c r="A50" s="52"/>
      <c r="B50" s="52"/>
      <c r="C50" s="52"/>
      <c r="D50" s="52"/>
      <c r="E50" s="52"/>
      <c r="F50" s="53"/>
      <c r="G50" s="38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4" ht="16.95" customHeight="1" spans="1:26">
      <c r="A54" s="23" t="s">
        <v>84</v>
      </c>
      <c r="B54" s="23" t="s">
        <v>14</v>
      </c>
      <c r="C54" s="23" t="s">
        <v>85</v>
      </c>
      <c r="D54" s="23" t="s">
        <v>86</v>
      </c>
      <c r="E54" s="23" t="s">
        <v>18</v>
      </c>
      <c r="F54" s="53"/>
      <c r="G54" s="38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6.95" customHeight="1" spans="1:26">
      <c r="A55" s="31"/>
      <c r="B55" s="47"/>
      <c r="C55" s="47"/>
      <c r="D55" s="47"/>
      <c r="E55" s="47"/>
      <c r="F55" s="53"/>
      <c r="G55" s="38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6.95" customHeight="1" spans="1:26">
      <c r="A56" s="54" t="s">
        <v>87</v>
      </c>
      <c r="B56" s="55" t="s">
        <v>88</v>
      </c>
      <c r="C56" s="56">
        <v>0</v>
      </c>
      <c r="D56" s="47"/>
      <c r="E56" s="47"/>
      <c r="F56" s="53"/>
      <c r="G56" s="38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6.95" customHeight="1" spans="1:26">
      <c r="A57" s="57"/>
      <c r="B57" s="55" t="s">
        <v>89</v>
      </c>
      <c r="C57" s="56">
        <v>32</v>
      </c>
      <c r="D57" s="47"/>
      <c r="E57" s="47"/>
      <c r="F57" s="44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6.95" customHeight="1" spans="1:26">
      <c r="A58" s="58"/>
      <c r="B58" s="55" t="s">
        <v>90</v>
      </c>
      <c r="C58" s="56">
        <v>32</v>
      </c>
      <c r="D58" s="47"/>
      <c r="E58" s="47"/>
      <c r="F58" s="44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7.55" spans="1:26">
      <c r="A59" s="38"/>
      <c r="B59" s="38"/>
      <c r="C59" s="38"/>
      <c r="D59" s="38"/>
      <c r="E59" s="38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7.55" spans="1:26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7.55" spans="1:26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7.55" spans="1:26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7.55" spans="1:26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7.55" spans="1:26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7.55" spans="1:26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7.55" spans="1:2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ht="17.55" spans="1:26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ht="17.55" spans="1:26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ht="17.55" spans="1:26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ht="17.55" spans="1:26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ht="17.55" spans="1:26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ht="17.55" spans="1:26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ht="17.55" spans="1:26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ht="17.55" spans="1:26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ht="17.55" spans="1:26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ht="17.55" spans="1:2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ht="17.55" spans="1:26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ht="17.55" spans="1:26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ht="17.55" spans="1:26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ht="17.55" spans="1:26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ht="17.55" spans="1:26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ht="17.55" spans="1:26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ht="17.55" spans="1:26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ht="17.55" spans="1:26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 ht="17.55" spans="1:26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 ht="17.55" spans="1:2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 ht="17.55" spans="1:26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 ht="17.55" spans="1:26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 ht="17.55" spans="1:26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 ht="17.55" spans="1:26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 ht="17.55" spans="1:26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 ht="17.55" spans="1:26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 ht="17.55" spans="1:26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 ht="17.55" spans="1:26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 ht="17.55" spans="1:26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 ht="17.55" spans="1:2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 ht="17.55" spans="1:26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 ht="17.55" spans="1:26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 ht="17.55" spans="1:26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 ht="17.55" spans="1:26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 ht="17.55" spans="1:26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7.55" spans="1:26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7.55" spans="1:26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7.55" spans="1:26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7.55" spans="1:26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7.55" spans="1:2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 ht="17.55" spans="1:26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 ht="17.55" spans="1:26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7.55" spans="1:26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7.55" spans="1:26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7.55" spans="1:26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7.55" spans="1:26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7.55" spans="1:26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7.55" spans="1:26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7.55" spans="1:26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7.55" spans="1:2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7.55" spans="1:26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7.55" spans="1:26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7.55" spans="1:26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7.55" spans="1:26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7.55" spans="1:26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7.55" spans="1:26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7.55" spans="1:26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7.55" spans="1:26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7.55" spans="1:26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7.55" spans="1: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7.55" spans="1:26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7.55" spans="1:26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7.55" spans="1:26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7.55" spans="1:26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7.55" spans="1:26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7.55" spans="1:26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7.55" spans="1:26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7.55" spans="1:26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7.55" spans="1:26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7.55" spans="1:2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7.55" spans="1:26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7.55" spans="1:26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7.55" spans="1:26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7.55" spans="1:26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7.55" spans="1:26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7.55" spans="1:26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7.55" spans="1:26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7.55" spans="1:26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7.55" spans="1:26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7.55" spans="1:2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7.55" spans="1:26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7.55" spans="1:26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7.55" spans="1:26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7.55" spans="1:26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7.55" spans="1:26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7.55" spans="1:26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7.55" spans="1:26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7.55" spans="1:26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7.55" spans="1:26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7.55" spans="1:2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7.55" spans="1:26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7.55" spans="1:26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7.55" spans="1:26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7.55" spans="1:26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7.55" spans="1:26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7.55" spans="1:26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7.55" spans="1:26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7.55" spans="1:26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7.55" spans="1:26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7.55" spans="1:2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7.55" spans="1:26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7.55" spans="1:26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7.55" spans="1:26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7.55" spans="1:26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7.55" spans="1:26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7.55" spans="1:26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7.55" spans="1:26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7.55" spans="1:26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7.55" spans="1:26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7.55" spans="1:2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7.55" spans="1:26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7.55" spans="1:26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7.55" spans="1:26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7.55" spans="1:26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7.55" spans="1:26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7.55" spans="1:26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7.55" spans="1:26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7.55" spans="1:26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7.55" spans="1:26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7.55" spans="1:2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7.55" spans="1:26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7.55" spans="1:26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7.55" spans="1:26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7.55" spans="1:26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7.55" spans="1:26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7.55" spans="1:26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7.55" spans="1:26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7.55" spans="1:26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7.55" spans="1:26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7.55" spans="1:2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7.55" spans="1:26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7.55" spans="1:26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7.55" spans="1:26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7.55" spans="1:26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7.55" spans="1:26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7.55" spans="1:26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7.55" spans="1:26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7.55" spans="1:26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7.55" spans="1:26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7.55" spans="1:2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7.55" spans="1:26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7.55" spans="1:26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7.55" spans="1:26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7.55" spans="1:26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7.55" spans="1:26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7.55" spans="1:26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7.55" spans="1:26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7.55" spans="1:26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7.55" spans="1:26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7.55" spans="1:2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7.55" spans="1:26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7.55" spans="1:26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7.55" spans="1:26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7.55" spans="1:26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7.55" spans="1:26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7.55" spans="1:26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7.55" spans="1:26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7.55" spans="1:26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7.55" spans="1:26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7.55" spans="1: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7.55" spans="1:26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7.55" spans="1:26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7.55" spans="1:26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7.55" spans="1:26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7.55" spans="1:26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7.55" spans="1:26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7.55" spans="1:26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7.55" spans="1:26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7.55" spans="1:26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7.55" spans="1:2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7.55" spans="1:26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7.55" spans="1:26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7.55" spans="1:26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7.55" spans="1:26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7.55" spans="1:26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7.55" spans="1:26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7.55" spans="1:26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7.55" spans="1:26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7.55" spans="1:26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7.55" spans="1:2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7.55" spans="1:26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7.55" spans="1:26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7.55" spans="1:26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7.55" spans="1:26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7.55" spans="1:26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7.55" spans="1:26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7.55" spans="1:26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7.55" spans="1:26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7.55" spans="1:26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7.55" spans="1:2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7.55" spans="1:26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7.55" spans="1:26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7.55" spans="1:26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7.55" spans="1:26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7.55" spans="1:26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7.55" spans="1:26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7.55" spans="1:26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7.55" spans="1:26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7.55" spans="1:26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7.55" spans="1:2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7.55" spans="1:26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7.55" spans="1:26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7.55" spans="1:26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7.55" spans="1:26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7.55" spans="1:26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7.55" spans="1:26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7.55" spans="1:26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7.55" spans="1:26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7.55" spans="1:26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7.55" spans="1:2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7.55" spans="1:26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7.55" spans="1:26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7.55" spans="1:26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7.55" spans="1:26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7.55" spans="1:26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7.55" spans="1:26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7.55" spans="1:26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7.55" spans="1:26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7.55" spans="1:26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7.55" spans="1:2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7.55" spans="1:26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7.55" spans="1:26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7.55" spans="1:26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7.55" spans="1:26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7.55" spans="1:26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7.55" spans="1:26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7.55" spans="1:26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7.55" spans="1:26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7.55" spans="1:26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7.55" spans="1:2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7.55" spans="1:26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7.55" spans="1:26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7.55" spans="1:26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7.55" spans="1:26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7.55" spans="1:26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7.55" spans="1:26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7.55" spans="1:26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7.55" spans="1:26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7.55" spans="1:26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7.55" spans="1:2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7.55" spans="1:26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7.55" spans="1:26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7.55" spans="1:26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7.55" spans="1:26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7.55" spans="1:26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7.55" spans="1:26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7.55" spans="1:26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7.55" spans="1:26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7.55" spans="1:26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7.55" spans="1:2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7.55" spans="1:26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7.55" spans="1:26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7.55" spans="1:26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7.55" spans="1:26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7.55" spans="1:26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7.55" spans="1:26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7.55" spans="1:26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7.55" spans="1:26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7.55" spans="1:26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7.55" spans="1: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7.55" spans="1:26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7.55" spans="1:26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7.55" spans="1:26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7.55" spans="1:26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7.55" spans="1:26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7.55" spans="1:26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7.55" spans="1:26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7.55" spans="1:26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7.55" spans="1:26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7.55" spans="1:2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7.55" spans="1:26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7.55" spans="1:26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7.55" spans="1:26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7.55" spans="1:26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7.55" spans="1:26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7.55" spans="1:26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7.55" spans="1:26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7.55" spans="1:26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7.55" spans="1:26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7.55" spans="1:2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7.55" spans="1:26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7.55" spans="1:26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7.55" spans="1:26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7.55" spans="1:26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7.55" spans="1:26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7.55" spans="1:26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7.55" spans="1:26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7.55" spans="1:26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7.55" spans="1:26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7.55" spans="1:2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7.55" spans="1:26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7.55" spans="1:26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7.55" spans="1:26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7.55" spans="1:26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7.55" spans="1:26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7.55" spans="1:26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7.55" spans="1:26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7.55" spans="1:26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7.55" spans="1:26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7.55" spans="1:2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7.55" spans="1:26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7.55" spans="1:26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7.55" spans="1:26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7.55" spans="1:26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7.55" spans="1:26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7.55" spans="1:26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7.55" spans="1:26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7.55" spans="1:26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7.55" spans="1:26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7.55" spans="1:2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7.55" spans="1:26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7.55" spans="1:26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7.55" spans="1:26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7.55" spans="1:26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7.55" spans="1:26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7.55" spans="1:26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7.55" spans="1:26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7.55" spans="1:26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7.55" spans="1:26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7.55" spans="1:2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7.55" spans="1:26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7.55" spans="1:26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7.55" spans="1:26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7.55" spans="1:26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7.55" spans="1:26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7.55" spans="1:26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7.55" spans="1:26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7.55" spans="1:26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7.55" spans="1:26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7.55" spans="1:2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7.55" spans="1:26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7.55" spans="1:26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7.55" spans="1:26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7.55" spans="1:26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7.55" spans="1:26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7.55" spans="1:26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7.55" spans="1:26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7.55" spans="1:26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7.55" spans="1:26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7.55" spans="1:2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7.55" spans="1:26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7.55" spans="1:26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7.55" spans="1:26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7.55" spans="1:26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7.55" spans="1:26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7.55" spans="1:26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7.55" spans="1:26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7.55" spans="1:26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7.55" spans="1:26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7.55" spans="1:2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7.55" spans="1:26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7.55" spans="1:26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7.55" spans="1:26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7.55" spans="1:26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7.55" spans="1:26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7.55" spans="1:26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7.55" spans="1:26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7.55" spans="1:26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7.55" spans="1:26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7.55" spans="1: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7.55" spans="1:26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7.55" spans="1:26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7.55" spans="1:26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7.55" spans="1:26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7.55" spans="1:26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7.55" spans="1:26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7.55" spans="1:26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7.55" spans="1:26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7.55" spans="1:26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7.55" spans="1:2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7.55" spans="1:26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7.55" spans="1:26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7.55" spans="1:26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7.55" spans="1:26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7.55" spans="1:26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7.55" spans="1:26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7.55" spans="1:26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7.55" spans="1:26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7.55" spans="1:26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 ht="17.55" spans="1:2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7.55" spans="1:26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7.55" spans="1:26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7.55" spans="1:26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7.55" spans="1:26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7.55" spans="1:26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7.55" spans="1:26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7.55" spans="1:26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 ht="17.55" spans="1:26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7.55" spans="1:26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7.55" spans="1:2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7.55" spans="1:26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7.55" spans="1:26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7.55" spans="1:26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7.55" spans="1:26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7.55" spans="1:26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7.55" spans="1:26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7.55" spans="1:26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7.55" spans="1:26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7.55" spans="1:26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7.55" spans="1:2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7.55" spans="1:26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7.55" spans="1:26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7.55" spans="1:26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7.55" spans="1:26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7.55" spans="1:26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7.55" spans="1:26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7.55" spans="1:26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7.55" spans="1:26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7.55" spans="1:26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7.55" spans="1:2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7.55" spans="1:26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7.55" spans="1:26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7.55" spans="1:26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7.55" spans="1:26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7.55" spans="1:26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7.55" spans="1:26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7.55" spans="1:26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7.55" spans="1:26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7.55" spans="1:26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7.55" spans="1:2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7.55" spans="1:26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7.55" spans="1:26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7.55" spans="1:26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7.55" spans="1:26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7.55" spans="1:26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7.55" spans="1:26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7.55" spans="1:26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7.55" spans="1:26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7.55" spans="1:26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7.55" spans="1:2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7.55" spans="1:26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7.55" spans="1:26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7.55" spans="1:26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7.55" spans="1:26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7.55" spans="1:26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7.55" spans="1:26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7.55" spans="1:26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7.55" spans="1:26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7.55" spans="1:26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7.55" spans="1:2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7.55" spans="1:26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7.55" spans="1:26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7.55" spans="1:26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7.55" spans="1:26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7.55" spans="1:26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7.55" spans="1:26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7.55" spans="1:26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7.55" spans="1:26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7.55" spans="1:26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7.55" spans="1:2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7.55" spans="1:26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7.55" spans="1:26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7.55" spans="1:26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7.55" spans="1:26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7.55" spans="1:26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7.55" spans="1:26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7.55" spans="1:26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7.55" spans="1:26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7.55" spans="1:26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7.55" spans="1: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7.55" spans="1:26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7.55" spans="1:26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7.55" spans="1:26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7.55" spans="1:26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7.55" spans="1:26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 ht="17.55" spans="1:26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7.55" spans="1:26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7.55" spans="1:26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7.55" spans="1:26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7.55" spans="1:2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7.55" spans="1:26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7.55" spans="1:26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7.55" spans="1:26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7.55" spans="1:26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7.55" spans="1:26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7.55" spans="1:26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7.55" spans="1:26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7.55" spans="1:26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7.55" spans="1:26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7.55" spans="1:2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7.55" spans="1:26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7.55" spans="1:26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7.55" spans="1:26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7.55" spans="1:26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7.55" spans="1:26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7.55" spans="1:26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7.55" spans="1:26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7.55" spans="1:26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7.55" spans="1:26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7.55" spans="1:2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7.55" spans="1:26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7.55" spans="1:26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7.55" spans="1:26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7.55" spans="1:26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7.55" spans="1:26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7.55" spans="1:26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7.55" spans="1:26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7.55" spans="1:26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7.55" spans="1:26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7.55" spans="1:2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7.55" spans="1:26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7.55" spans="1:26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7.55" spans="1:26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7.55" spans="1:26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7.55" spans="1:26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7.55" spans="1:26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7.55" spans="1:26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7.55" spans="1:26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7.55" spans="1:26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7.55" spans="1:2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7.55" spans="1:26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7.55" spans="1:26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7.55" spans="1:26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7.55" spans="1:26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7.55" spans="1:26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 ht="17.55" spans="1:26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 ht="17.55" spans="1:26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 ht="17.55" spans="1:26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 ht="17.55" spans="1:26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 ht="17.55" spans="1:2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 ht="17.55" spans="1:26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 ht="17.55" spans="1:26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 ht="17.55" spans="1:26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 ht="17.55" spans="1:26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 ht="17.55" spans="1:26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 ht="17.55" spans="1:26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 ht="17.55" spans="1:26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 ht="17.55" spans="1:26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7.55" spans="1:26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7.55" spans="1:2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 ht="17.55" spans="1:26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 ht="17.55" spans="1:26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 ht="17.55" spans="1:26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 ht="17.55" spans="1:26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 ht="17.55" spans="1:26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 ht="17.55" spans="1:26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 ht="17.55" spans="1:26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 ht="17.55" spans="1:26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 ht="17.55" spans="1:26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 ht="17.55" spans="1:2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 ht="17.55" spans="1:26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 ht="17.55" spans="1:26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 ht="17.55" spans="1:26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 ht="17.55" spans="1:26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 ht="17.55" spans="1:26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 ht="17.55" spans="1:26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7.55" spans="1:26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7.55" spans="1:26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 ht="17.55" spans="1:26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 ht="17.55" spans="1:2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 ht="17.55" spans="1:26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 ht="17.55" spans="1:26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 ht="17.55" spans="1:26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 ht="17.55" spans="1:26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 ht="17.55" spans="1:26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 ht="17.55" spans="1:26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 ht="17.55" spans="1:26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 ht="17.55" spans="1:26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 ht="17.55" spans="1:26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 ht="17.55" spans="1: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 ht="17.55" spans="1:26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 ht="17.55" spans="1:26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 ht="17.55" spans="1:26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 ht="17.55" spans="1:26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7.55" spans="1:26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7.55" spans="1:26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 ht="17.55" spans="1:26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 ht="17.55" spans="1:26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 ht="17.55" spans="1:26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 ht="17.55" spans="1:2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 ht="17.55" spans="1:26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 ht="17.55" spans="1:26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 ht="17.55" spans="1:26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 ht="17.55" spans="1:26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 ht="17.55" spans="1:26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 ht="17.55" spans="1:26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 ht="17.55" spans="1:26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 ht="17.55" spans="1:26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 ht="17.55" spans="1:26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 ht="17.55" spans="1:2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 ht="17.55" spans="1:26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 ht="17.55" spans="1:26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7.55" spans="1:26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7.55" spans="1:26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 ht="17.55" spans="1:26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 ht="17.55" spans="1:26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 ht="17.55" spans="1:26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 ht="17.55" spans="1:26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 ht="17.55" spans="1:26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 ht="17.55" spans="1:2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 ht="17.55" spans="1:26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 ht="17.55" spans="1:26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 ht="17.55" spans="1:26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 ht="17.55" spans="1:26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 ht="17.55" spans="1:26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 ht="17.55" spans="1:26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 ht="17.55" spans="1:26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 ht="17.55" spans="1:26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 ht="17.55" spans="1:26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 ht="17.55" spans="1:2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7.55" spans="1:26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7.55" spans="1:26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 ht="17.55" spans="1:26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 ht="17.55" spans="1:26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 ht="17.55" spans="1:26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 ht="17.55" spans="1:26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 ht="17.55" spans="1:26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 ht="17.55" spans="1:26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 ht="17.55" spans="1:26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 ht="17.55" spans="1:2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 ht="17.55" spans="1:26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 ht="17.55" spans="1:26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 ht="17.55" spans="1:26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 ht="17.55" spans="1:26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 ht="17.55" spans="1:26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 ht="17.55" spans="1:26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 ht="17.55" spans="1:26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 ht="17.55" spans="1:26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7.55" spans="1:26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7.55" spans="1:2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 ht="17.55" spans="1:26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 ht="17.55" spans="1:26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 ht="17.55" spans="1:26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 ht="17.55" spans="1:26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 ht="17.55" spans="1:26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 ht="17.55" spans="1:26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 ht="17.55" spans="1:26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 ht="17.55" spans="1:26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 ht="17.55" spans="1:26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 ht="17.55" spans="1:2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 ht="17.55" spans="1:26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 ht="17.55" spans="1:26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 ht="17.55" spans="1:26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 ht="17.55" spans="1:26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 ht="17.55" spans="1:26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 ht="17.55" spans="1:26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7.55" spans="1:26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7.55" spans="1:26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 ht="17.55" spans="1:26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 ht="17.55" spans="1:2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 ht="17.55" spans="1:26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 ht="17.55" spans="1:26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 ht="17.55" spans="1:26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 ht="17.55" spans="1:26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 ht="17.55" spans="1:26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 ht="17.55" spans="1:26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 ht="17.55" spans="1:26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 ht="17.55" spans="1:26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 ht="17.55" spans="1:26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 ht="17.55" spans="1:2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 ht="17.55" spans="1:26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 ht="17.55" spans="1:26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 ht="17.55" spans="1:26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 ht="17.55" spans="1:26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7.55" spans="1:26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7.55" spans="1:26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 ht="17.55" spans="1:26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 ht="17.55" spans="1:26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 ht="17.55" spans="1:26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 ht="17.55" spans="1: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 ht="17.55" spans="1:26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 ht="17.55" spans="1:26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 ht="17.55" spans="1:26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 ht="17.55" spans="1:26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 ht="17.55" spans="1:26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 ht="17.55" spans="1:26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 ht="17.55" spans="1:26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 ht="17.55" spans="1:26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 ht="17.55" spans="1:26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 ht="17.55" spans="1:2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 ht="17.55" spans="1:26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 ht="17.55" spans="1:26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7.55" spans="1:26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7.55" spans="1:26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 ht="17.55" spans="1:26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 ht="17.55" spans="1:26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 ht="17.55" spans="1:26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 ht="17.55" spans="1:26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 ht="17.55" spans="1:26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 ht="17.55" spans="1:2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 ht="17.55" spans="1:26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 ht="17.55" spans="1:26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 ht="17.55" spans="1:26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 ht="17.55" spans="1:26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 ht="17.55" spans="1:26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 ht="17.55" spans="1:26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 ht="17.55" spans="1:26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 ht="17.55" spans="1:26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 ht="17.55" spans="1:26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 ht="17.55" spans="1:2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7.55" spans="1:26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7.55" spans="1:26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 ht="17.55" spans="1:26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 ht="17.55" spans="1:26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 ht="17.55" spans="1:26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 ht="17.55" spans="1:26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 ht="17.55" spans="1:26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 ht="17.55" spans="1:26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 ht="17.55" spans="1:26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 ht="17.55" spans="1:2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 ht="17.55" spans="1:26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 ht="17.55" spans="1:26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 ht="17.55" spans="1:26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 ht="17.55" spans="1:26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 ht="17.55" spans="1:26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 ht="17.55" spans="1:26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 ht="17.55" spans="1:26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 ht="17.55" spans="1:26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7.55" spans="1:26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 ht="17.55" spans="1:2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 ht="17.55" spans="1:26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 ht="17.55" spans="1:26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 ht="17.55" spans="1:26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 ht="17.55" spans="1:26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 ht="17.55" spans="1:26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 ht="17.55" spans="1:26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 ht="17.55" spans="1:26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 ht="17.55" spans="1:26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 ht="17.55" spans="1:26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 ht="17.55" spans="1:2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 ht="17.55" spans="1:26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 ht="17.55" spans="1:26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 ht="17.55" spans="1:26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 ht="17.55" spans="1:26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 ht="17.55" spans="1:26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 ht="17.55" spans="1:26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7.55" spans="1:26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 ht="17.55" spans="1:26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 ht="17.55" spans="1:26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 ht="17.55" spans="1:2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 ht="17.55" spans="1:26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 ht="17.55" spans="1:26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 ht="17.55" spans="1:26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 ht="17.55" spans="1:26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 ht="17.55" spans="1:26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 ht="17.55" spans="1:26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 ht="17.55" spans="1:26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 ht="17.55" spans="1:26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 ht="17.55" spans="1:26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 ht="17.55" spans="1:2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 ht="17.55" spans="1:26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 ht="17.55" spans="1:26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 ht="17.55" spans="1:26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 ht="17.55" spans="1:26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7.55" spans="1:26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 ht="17.55" spans="1:26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 ht="17.55" spans="1:26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 ht="17.55" spans="1:26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 ht="17.55" spans="1:26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 ht="17.55" spans="1:2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 ht="17.55" spans="1:26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 ht="17.55" spans="1:26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 ht="17.55" spans="1:26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 ht="17.55" spans="1:26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 ht="17.55" spans="1:26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 ht="17.55" spans="1:26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 ht="17.55" spans="1:26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 ht="17.55" spans="1:26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 ht="17.55" spans="1:26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 ht="17.55" spans="1: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 ht="17.55" spans="1:26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 ht="17.55" spans="1:26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7.55" spans="1:26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 ht="17.55" spans="1:26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 ht="17.55" spans="1:26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 ht="17.55" spans="1:26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 ht="17.55" spans="1:26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 ht="17.55" spans="1:26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 ht="17.55" spans="1:26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 ht="17.55" spans="1:2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 ht="17.55" spans="1:26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 ht="17.55" spans="1:26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 ht="17.55" spans="1:26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 ht="17.55" spans="1:26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 ht="17.55" spans="1:26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 ht="17.55" spans="1:26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 ht="17.55" spans="1:26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 ht="17.55" spans="1:26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 ht="17.55" spans="1:26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 ht="17.55" spans="1:2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7.55" spans="1:26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 ht="17.55" spans="1:26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 ht="17.55" spans="1:26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 ht="17.55" spans="1:26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 ht="17.55" spans="1:26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 ht="17.55" spans="1:26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 ht="17.55" spans="1:26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 ht="17.55" spans="1:26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 ht="17.55" spans="1:26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 ht="17.55" spans="1:2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 ht="17.55" spans="1:26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 ht="17.55" spans="1:26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 ht="17.55" spans="1:26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 ht="17.55" spans="1:26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 ht="17.55" spans="1:26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 ht="17.55" spans="1:26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 ht="17.55" spans="1:26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 ht="17.55" spans="1:26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7.55" spans="1:26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 ht="17.55" spans="1:2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 ht="17.55" spans="1:26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 ht="17.55" spans="1:26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 ht="17.55" spans="1:26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 ht="17.55" spans="1:26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 ht="17.55" spans="1:26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 ht="17.55" spans="1:26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 ht="17.55" spans="1:26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 ht="17.55" spans="1:26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 ht="17.55" spans="1:26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 ht="17.55" spans="1:2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 ht="17.55" spans="1:26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 ht="17.55" spans="1:26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 ht="17.55" spans="1:26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 ht="17.55" spans="1:26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 ht="17.55" spans="1:26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 ht="17.55" spans="1:26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7.55" spans="1:26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 ht="17.55" spans="1:26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 ht="17.55" spans="1:26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 ht="17.55" spans="1:2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 ht="17.55" spans="1:26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 ht="17.55" spans="1:26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 ht="17.55" spans="1:26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 ht="17.55" spans="1:26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 ht="17.55" spans="1:26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 ht="17.55" spans="1:26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 ht="17.55" spans="1:26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 ht="17.55" spans="1:26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 ht="17.55" spans="1:26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 ht="17.55" spans="1:2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 ht="17.55" spans="1:26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 ht="17.55" spans="1:26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 ht="17.55" spans="1:26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 ht="17.55" spans="1:26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7.55" spans="1:26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 ht="17.55" spans="1:26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 ht="17.55" spans="1:26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 ht="17.55" spans="1:26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 ht="17.55" spans="1:26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 ht="17.55" spans="1:2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 ht="17.55" spans="1:26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 ht="17.55" spans="1:26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 ht="17.55" spans="1:26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 ht="17.55" spans="1:26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 ht="17.55" spans="1:26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 ht="17.55" spans="1:26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 ht="17.55" spans="1:26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 ht="17.55" spans="1:26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 ht="17.55" spans="1:26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 ht="17.55" spans="1:2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 ht="17.55" spans="1:26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 ht="17.55" spans="1:26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7.55" spans="1:26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 ht="17.55" spans="1:26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 ht="17.55" spans="1:26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 ht="17.55" spans="1:26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 ht="17.55" spans="1:26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 ht="17.55" spans="1:26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 ht="17.55" spans="1:26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 ht="17.55" spans="1: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 ht="17.55" spans="1:26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 ht="17.55" spans="1:26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 ht="17.55" spans="1:26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 ht="17.55" spans="1:26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 ht="17.55" spans="1:26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 ht="17.55" spans="1:26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 ht="17.55" spans="1:26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 ht="17.55" spans="1:26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 ht="17.55" spans="1:26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 ht="17.55" spans="1:2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7.55" spans="1:26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 ht="17.55" spans="1:26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 ht="17.55" spans="1:26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 ht="17.55" spans="1:26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 ht="17.55" spans="1:26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 ht="17.55" spans="1:26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 ht="17.55" spans="1:26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 ht="17.55" spans="1:26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 ht="17.55" spans="1:26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 ht="17.55" spans="1:2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 ht="17.55" spans="1:26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 ht="17.55" spans="1:26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 ht="17.55" spans="1:26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 ht="17.55" spans="1:26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 ht="17.55" spans="1:26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 ht="17.55" spans="1:26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 ht="17.55" spans="1:26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 ht="17.55" spans="1:26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7.55" spans="1:26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 ht="17.55" spans="1:2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 ht="17.55" spans="1:26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 ht="17.55" spans="1:26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 ht="17.55" spans="1:26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 ht="17.55" spans="1:26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 ht="17.55" spans="1:26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 ht="17.55" spans="1:26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 ht="17.55" spans="1:26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 ht="17.55" spans="1:26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 ht="17.55" spans="1:26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 ht="17.55" spans="1:2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 ht="17.55" spans="1:26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 ht="17.55" spans="1:26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 ht="17.55" spans="1:26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 ht="17.55" spans="1:26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 ht="17.55" spans="1:26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 ht="17.55" spans="1:26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7.55" spans="1:26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 ht="17.55" spans="1:26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 ht="17.55" spans="1:26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 ht="17.55" spans="1:2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 ht="17.55" spans="1:26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 ht="17.55" spans="1:26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 ht="17.55" spans="1:26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 ht="17.55" spans="1:26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 ht="17.55" spans="1:26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 ht="17.55" spans="1:26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 ht="17.55" spans="1:26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 ht="17.55" spans="1:26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 ht="17.55" spans="1:26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 ht="17.55" spans="1:2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 ht="17.55" spans="1:26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 ht="17.55" spans="1:26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 ht="17.55" spans="1:26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 ht="17.55" spans="1:26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 ht="17.55" spans="1:26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 ht="17.55" spans="1:26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 ht="17.55" spans="1:26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 ht="17.55" spans="1:26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 ht="17.55" spans="1:26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 ht="17.55" spans="1:2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 ht="17.55" spans="1:26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 ht="17.55" spans="1:26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 ht="17.55" spans="1:26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 ht="17.55" spans="1:26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 ht="17.55" spans="1:26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  <row r="1002" ht="17.55" spans="1:26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</row>
    <row r="1003" ht="17.55" spans="1:26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</row>
    <row r="1004" ht="17.55" spans="1:26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</row>
    <row r="1005" ht="17.55" spans="1:26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</row>
    <row r="1006" ht="17.55" spans="1:26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</row>
    <row r="1007" ht="17.55" spans="1:26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</row>
    <row r="1008" ht="17.55" spans="1:26">
      <c r="A1008" s="39"/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</row>
    <row r="1009" ht="17.55" spans="1:26">
      <c r="A1009" s="39"/>
      <c r="B1009" s="3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</row>
    <row r="1010" ht="17.55" spans="1:26">
      <c r="A1010" s="39"/>
      <c r="B1010" s="3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  <c r="V1010" s="39"/>
      <c r="W1010" s="39"/>
      <c r="X1010" s="39"/>
      <c r="Y1010" s="39"/>
      <c r="Z1010" s="39"/>
    </row>
    <row r="1011" ht="17.55" spans="1:26">
      <c r="A1011" s="39"/>
      <c r="B1011" s="39"/>
      <c r="C1011" s="39"/>
      <c r="D1011" s="39"/>
      <c r="E1011" s="39"/>
      <c r="F1011" s="39"/>
      <c r="G1011" s="39"/>
      <c r="H1011" s="39"/>
      <c r="I1011" s="39"/>
      <c r="J1011" s="39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U1011" s="39"/>
      <c r="V1011" s="39"/>
      <c r="W1011" s="39"/>
      <c r="X1011" s="39"/>
      <c r="Y1011" s="39"/>
      <c r="Z1011" s="39"/>
    </row>
    <row r="1012" ht="17.55" spans="1:26">
      <c r="A1012" s="39"/>
      <c r="B1012" s="39"/>
      <c r="C1012" s="39"/>
      <c r="D1012" s="39"/>
      <c r="E1012" s="39"/>
      <c r="F1012" s="39"/>
      <c r="G1012" s="39"/>
      <c r="H1012" s="39"/>
      <c r="I1012" s="39"/>
      <c r="J1012" s="39"/>
      <c r="K1012" s="39"/>
      <c r="L1012" s="39"/>
      <c r="M1012" s="39"/>
      <c r="N1012" s="39"/>
      <c r="O1012" s="39"/>
      <c r="P1012" s="39"/>
      <c r="Q1012" s="39"/>
      <c r="R1012" s="39"/>
      <c r="S1012" s="39"/>
      <c r="T1012" s="39"/>
      <c r="U1012" s="39"/>
      <c r="V1012" s="39"/>
      <c r="W1012" s="39"/>
      <c r="X1012" s="39"/>
      <c r="Y1012" s="39"/>
      <c r="Z1012" s="39"/>
    </row>
    <row r="1013" ht="17.55" spans="1:26">
      <c r="A1013" s="39"/>
      <c r="B1013" s="39"/>
      <c r="C1013" s="39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  <c r="S1013" s="39"/>
      <c r="T1013" s="39"/>
      <c r="U1013" s="39"/>
      <c r="V1013" s="39"/>
      <c r="W1013" s="39"/>
      <c r="X1013" s="39"/>
      <c r="Y1013" s="39"/>
      <c r="Z1013" s="39"/>
    </row>
    <row r="1014" ht="17.55" spans="1:26">
      <c r="A1014" s="39"/>
      <c r="B1014" s="39"/>
      <c r="C1014" s="39"/>
      <c r="D1014" s="39"/>
      <c r="E1014" s="39"/>
      <c r="F1014" s="39"/>
      <c r="G1014" s="39"/>
      <c r="H1014" s="39"/>
      <c r="I1014" s="39"/>
      <c r="J1014" s="39"/>
      <c r="K1014" s="39"/>
      <c r="L1014" s="39"/>
      <c r="M1014" s="39"/>
      <c r="N1014" s="39"/>
      <c r="O1014" s="39"/>
      <c r="P1014" s="39"/>
      <c r="Q1014" s="39"/>
      <c r="R1014" s="39"/>
      <c r="S1014" s="39"/>
      <c r="T1014" s="39"/>
      <c r="U1014" s="39"/>
      <c r="V1014" s="39"/>
      <c r="W1014" s="39"/>
      <c r="X1014" s="39"/>
      <c r="Y1014" s="39"/>
      <c r="Z1014" s="39"/>
    </row>
    <row r="1015" ht="17.55" spans="1:26">
      <c r="A1015" s="39"/>
      <c r="B1015" s="39"/>
      <c r="C1015" s="39"/>
      <c r="D1015" s="39"/>
      <c r="E1015" s="39"/>
      <c r="F1015" s="39"/>
      <c r="G1015" s="39"/>
      <c r="H1015" s="39"/>
      <c r="I1015" s="39"/>
      <c r="J1015" s="39"/>
      <c r="K1015" s="39"/>
      <c r="L1015" s="39"/>
      <c r="M1015" s="39"/>
      <c r="N1015" s="39"/>
      <c r="O1015" s="39"/>
      <c r="P1015" s="39"/>
      <c r="Q1015" s="39"/>
      <c r="R1015" s="39"/>
      <c r="S1015" s="39"/>
      <c r="T1015" s="39"/>
      <c r="U1015" s="39"/>
      <c r="V1015" s="39"/>
      <c r="W1015" s="39"/>
      <c r="X1015" s="39"/>
      <c r="Y1015" s="39"/>
      <c r="Z1015" s="39"/>
    </row>
    <row r="1016" ht="17.55" spans="1:26">
      <c r="A1016" s="39"/>
      <c r="B1016" s="39"/>
      <c r="C1016" s="39"/>
      <c r="D1016" s="39"/>
      <c r="E1016" s="39"/>
      <c r="F1016" s="39"/>
      <c r="G1016" s="39"/>
      <c r="H1016" s="39"/>
      <c r="I1016" s="39"/>
      <c r="J1016" s="39"/>
      <c r="K1016" s="39"/>
      <c r="L1016" s="39"/>
      <c r="M1016" s="39"/>
      <c r="N1016" s="39"/>
      <c r="O1016" s="39"/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39"/>
    </row>
    <row r="1017" ht="17.55" spans="1:26">
      <c r="A1017" s="39"/>
      <c r="B1017" s="39"/>
      <c r="C1017" s="39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  <c r="S1017" s="39"/>
      <c r="T1017" s="39"/>
      <c r="U1017" s="39"/>
      <c r="V1017" s="39"/>
      <c r="W1017" s="39"/>
      <c r="X1017" s="39"/>
      <c r="Y1017" s="39"/>
      <c r="Z1017" s="39"/>
    </row>
    <row r="1018" ht="17.55" spans="1:26">
      <c r="A1018" s="39"/>
      <c r="B1018" s="39"/>
      <c r="C1018" s="39"/>
      <c r="D1018" s="39"/>
      <c r="E1018" s="39"/>
      <c r="F1018" s="39"/>
      <c r="G1018" s="39"/>
      <c r="H1018" s="39"/>
      <c r="I1018" s="39"/>
      <c r="J1018" s="39"/>
      <c r="K1018" s="39"/>
      <c r="L1018" s="39"/>
      <c r="M1018" s="39"/>
      <c r="N1018" s="39"/>
      <c r="O1018" s="39"/>
      <c r="P1018" s="39"/>
      <c r="Q1018" s="39"/>
      <c r="R1018" s="39"/>
      <c r="S1018" s="39"/>
      <c r="T1018" s="39"/>
      <c r="U1018" s="39"/>
      <c r="V1018" s="39"/>
      <c r="W1018" s="39"/>
      <c r="X1018" s="39"/>
      <c r="Y1018" s="39"/>
      <c r="Z1018" s="39"/>
    </row>
    <row r="1019" ht="17.55" spans="1:26">
      <c r="A1019" s="39"/>
      <c r="B1019" s="39"/>
      <c r="C1019" s="39"/>
      <c r="D1019" s="39"/>
      <c r="E1019" s="39"/>
      <c r="F1019" s="39"/>
      <c r="G1019" s="39"/>
      <c r="H1019" s="39"/>
      <c r="I1019" s="39"/>
      <c r="J1019" s="39"/>
      <c r="K1019" s="39"/>
      <c r="L1019" s="39"/>
      <c r="M1019" s="39"/>
      <c r="N1019" s="39"/>
      <c r="O1019" s="39"/>
      <c r="P1019" s="39"/>
      <c r="Q1019" s="39"/>
      <c r="R1019" s="39"/>
      <c r="S1019" s="39"/>
      <c r="T1019" s="39"/>
      <c r="U1019" s="39"/>
      <c r="V1019" s="39"/>
      <c r="W1019" s="39"/>
      <c r="X1019" s="39"/>
      <c r="Y1019" s="39"/>
      <c r="Z1019" s="39"/>
    </row>
    <row r="1020" ht="17.55" spans="1:26">
      <c r="A1020" s="39"/>
      <c r="B1020" s="39"/>
      <c r="C1020" s="39"/>
      <c r="D1020" s="39"/>
      <c r="E1020" s="39"/>
      <c r="F1020" s="39"/>
      <c r="G1020" s="39"/>
      <c r="H1020" s="39"/>
      <c r="I1020" s="39"/>
      <c r="J1020" s="39"/>
      <c r="K1020" s="39"/>
      <c r="L1020" s="39"/>
      <c r="M1020" s="39"/>
      <c r="N1020" s="39"/>
      <c r="O1020" s="39"/>
      <c r="P1020" s="39"/>
      <c r="Q1020" s="39"/>
      <c r="R1020" s="39"/>
      <c r="S1020" s="39"/>
      <c r="T1020" s="39"/>
      <c r="U1020" s="39"/>
      <c r="V1020" s="39"/>
      <c r="W1020" s="39"/>
      <c r="X1020" s="39"/>
      <c r="Y1020" s="39"/>
      <c r="Z1020" s="39"/>
    </row>
    <row r="1021" ht="17.55" spans="1:26">
      <c r="A1021" s="39"/>
      <c r="B1021" s="39"/>
      <c r="C1021" s="39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  <c r="S1021" s="39"/>
      <c r="T1021" s="39"/>
      <c r="U1021" s="39"/>
      <c r="V1021" s="39"/>
      <c r="W1021" s="39"/>
      <c r="X1021" s="39"/>
      <c r="Y1021" s="39"/>
      <c r="Z1021" s="39"/>
    </row>
    <row r="1022" ht="17.55" spans="1:26">
      <c r="A1022" s="39"/>
      <c r="B1022" s="39"/>
      <c r="C1022" s="39"/>
      <c r="D1022" s="39"/>
      <c r="E1022" s="39"/>
      <c r="F1022" s="39"/>
      <c r="G1022" s="39"/>
      <c r="H1022" s="39"/>
      <c r="I1022" s="39"/>
      <c r="J1022" s="39"/>
      <c r="K1022" s="39"/>
      <c r="L1022" s="39"/>
      <c r="M1022" s="39"/>
      <c r="N1022" s="39"/>
      <c r="O1022" s="39"/>
      <c r="P1022" s="39"/>
      <c r="Q1022" s="39"/>
      <c r="R1022" s="39"/>
      <c r="S1022" s="39"/>
      <c r="T1022" s="39"/>
      <c r="U1022" s="39"/>
      <c r="V1022" s="39"/>
      <c r="W1022" s="39"/>
      <c r="X1022" s="39"/>
      <c r="Y1022" s="39"/>
      <c r="Z1022" s="39"/>
    </row>
    <row r="1023" ht="17.55" spans="1:26">
      <c r="A1023" s="39"/>
      <c r="B1023" s="39"/>
      <c r="C1023" s="39"/>
      <c r="D1023" s="39"/>
      <c r="E1023" s="39"/>
      <c r="F1023" s="39"/>
      <c r="G1023" s="39"/>
      <c r="H1023" s="39"/>
      <c r="I1023" s="39"/>
      <c r="J1023" s="39"/>
      <c r="K1023" s="39"/>
      <c r="L1023" s="39"/>
      <c r="M1023" s="39"/>
      <c r="N1023" s="39"/>
      <c r="O1023" s="39"/>
      <c r="P1023" s="39"/>
      <c r="Q1023" s="39"/>
      <c r="R1023" s="39"/>
      <c r="S1023" s="39"/>
      <c r="T1023" s="39"/>
      <c r="U1023" s="39"/>
      <c r="V1023" s="39"/>
      <c r="W1023" s="39"/>
      <c r="X1023" s="39"/>
      <c r="Y1023" s="39"/>
      <c r="Z1023" s="39"/>
    </row>
    <row r="1024" ht="17.55" spans="1:26">
      <c r="A1024" s="39"/>
      <c r="B1024" s="39"/>
      <c r="C1024" s="39"/>
      <c r="D1024" s="39"/>
      <c r="E1024" s="39"/>
      <c r="F1024" s="39"/>
      <c r="G1024" s="39"/>
      <c r="H1024" s="39"/>
      <c r="I1024" s="39"/>
      <c r="J1024" s="39"/>
      <c r="K1024" s="39"/>
      <c r="L1024" s="39"/>
      <c r="M1024" s="39"/>
      <c r="N1024" s="39"/>
      <c r="O1024" s="39"/>
      <c r="P1024" s="39"/>
      <c r="Q1024" s="39"/>
      <c r="R1024" s="39"/>
      <c r="S1024" s="39"/>
      <c r="T1024" s="39"/>
      <c r="U1024" s="39"/>
      <c r="V1024" s="39"/>
      <c r="W1024" s="39"/>
      <c r="X1024" s="39"/>
      <c r="Y1024" s="39"/>
      <c r="Z1024" s="39"/>
    </row>
    <row r="1025" ht="17.55" spans="6:7">
      <c r="F1025" s="39"/>
      <c r="G1025" s="39"/>
    </row>
  </sheetData>
  <mergeCells count="6">
    <mergeCell ref="A4:G4"/>
    <mergeCell ref="B7:C7"/>
    <mergeCell ref="A15:B15"/>
    <mergeCell ref="A8:A10"/>
    <mergeCell ref="A11:A14"/>
    <mergeCell ref="A56:A5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Z1021"/>
  <sheetViews>
    <sheetView zoomScale="80" zoomScaleNormal="80" topLeftCell="A12" workbookViewId="0">
      <selection activeCell="I14" sqref="I14"/>
    </sheetView>
  </sheetViews>
  <sheetFormatPr defaultColWidth="8.88888888888889" defaultRowHeight="14.4"/>
  <cols>
    <col min="1" max="1" width="45" style="1" customWidth="1"/>
    <col min="2" max="2" width="70.8888888888889" style="1" customWidth="1"/>
    <col min="3" max="3" width="26.6666666666667" style="1" customWidth="1"/>
    <col min="4" max="4" width="18.1111111111111" style="1" customWidth="1"/>
    <col min="5" max="5" width="17.5555555555556" style="1" customWidth="1"/>
    <col min="6" max="7" width="11.6666666666667" style="1" customWidth="1"/>
    <col min="8" max="16384" width="8.88888888888889" style="1"/>
  </cols>
  <sheetData>
    <row r="3" s="1" customFormat="1" ht="15.15"/>
    <row r="4" s="2" customFormat="1" ht="40.95" customHeight="1" spans="1:26">
      <c r="A4" s="3" t="s">
        <v>91</v>
      </c>
      <c r="B4" s="4"/>
      <c r="C4" s="4"/>
      <c r="D4" s="4"/>
      <c r="E4" s="4"/>
      <c r="F4" s="4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="1" customFormat="1" ht="17.55" spans="1:26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="1" customFormat="1" ht="17.55" spans="1:26">
      <c r="A6" s="8"/>
      <c r="B6" s="8"/>
      <c r="C6" s="8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="1" customFormat="1" ht="16.95" customHeight="1" spans="1:26">
      <c r="A7" s="9" t="s">
        <v>1</v>
      </c>
      <c r="B7" s="10" t="s">
        <v>2</v>
      </c>
      <c r="C7" s="11"/>
      <c r="D7" s="12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="1" customFormat="1" ht="16.95" customHeight="1" spans="1:26">
      <c r="A8" s="13" t="s">
        <v>3</v>
      </c>
      <c r="B8" s="14" t="s">
        <v>4</v>
      </c>
      <c r="C8" s="15">
        <v>1522</v>
      </c>
      <c r="D8" s="12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="1" customFormat="1" ht="16.95" customHeight="1" spans="1:26">
      <c r="A9" s="13"/>
      <c r="B9" s="16" t="s">
        <v>5</v>
      </c>
      <c r="C9" s="17">
        <v>5</v>
      </c>
      <c r="D9" s="12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="1" customFormat="1" ht="16.95" customHeight="1" spans="1:26">
      <c r="A10" s="13"/>
      <c r="B10" s="9" t="s">
        <v>6</v>
      </c>
      <c r="C10" s="18">
        <f>SUM(C8,C9)</f>
        <v>1527</v>
      </c>
      <c r="D10" s="12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="1" customFormat="1" ht="16.95" customHeight="1" spans="1:26">
      <c r="A11" s="13" t="s">
        <v>7</v>
      </c>
      <c r="B11" s="19" t="s">
        <v>8</v>
      </c>
      <c r="C11" s="20">
        <v>0</v>
      </c>
      <c r="D11" s="12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="1" customFormat="1" ht="16.95" customHeight="1" spans="1:26">
      <c r="A12" s="13"/>
      <c r="B12" s="19" t="s">
        <v>9</v>
      </c>
      <c r="C12" s="20">
        <v>0</v>
      </c>
      <c r="D12" s="12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="1" customFormat="1" ht="16.95" customHeight="1" spans="1:26">
      <c r="A13" s="13"/>
      <c r="B13" s="19" t="s">
        <v>10</v>
      </c>
      <c r="C13" s="20">
        <v>0</v>
      </c>
      <c r="D13" s="12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="1" customFormat="1" ht="16.95" customHeight="1" spans="1:26">
      <c r="A14" s="13"/>
      <c r="B14" s="9" t="s">
        <v>11</v>
      </c>
      <c r="C14" s="18">
        <v>1528</v>
      </c>
      <c r="D14" s="12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="1" customFormat="1" ht="16.95" customHeight="1" spans="1:26">
      <c r="A15" s="21" t="s">
        <v>12</v>
      </c>
      <c r="B15" s="21"/>
      <c r="C15" s="18">
        <f>SUM(C10,C14)</f>
        <v>3055</v>
      </c>
      <c r="D15" s="12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="1" customFormat="1" ht="17.55" spans="1:26">
      <c r="A16" s="22"/>
      <c r="B16" s="22"/>
      <c r="C16" s="22"/>
      <c r="D16" s="8"/>
      <c r="E16" s="8"/>
      <c r="F16" s="8"/>
      <c r="G16" s="8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="1" customFormat="1" ht="16.95" customHeight="1" spans="1:26">
      <c r="A17" s="23" t="s">
        <v>13</v>
      </c>
      <c r="B17" s="23" t="s">
        <v>14</v>
      </c>
      <c r="C17" s="23" t="s">
        <v>15</v>
      </c>
      <c r="D17" s="23" t="s">
        <v>16</v>
      </c>
      <c r="E17" s="23" t="s">
        <v>17</v>
      </c>
      <c r="F17" s="23" t="s">
        <v>18</v>
      </c>
      <c r="G17" s="23" t="s">
        <v>19</v>
      </c>
      <c r="H17" s="12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="1" customFormat="1" ht="16.95" customHeight="1" spans="1:26">
      <c r="A18" s="24" t="s">
        <v>92</v>
      </c>
      <c r="B18" s="25" t="s">
        <v>93</v>
      </c>
      <c r="C18" s="26">
        <v>1</v>
      </c>
      <c r="D18" s="26">
        <v>1</v>
      </c>
      <c r="E18" s="20">
        <v>0</v>
      </c>
      <c r="F18" s="19">
        <v>3</v>
      </c>
      <c r="G18" s="19"/>
      <c r="H18" s="12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="1" customFormat="1" ht="16.95" customHeight="1" spans="1:26">
      <c r="A19" s="24" t="s">
        <v>94</v>
      </c>
      <c r="B19" s="25" t="s">
        <v>95</v>
      </c>
      <c r="C19" s="26">
        <v>1</v>
      </c>
      <c r="D19" s="26">
        <v>1</v>
      </c>
      <c r="E19" s="20">
        <v>0</v>
      </c>
      <c r="F19" s="19">
        <v>3</v>
      </c>
      <c r="G19" s="19"/>
      <c r="H19" s="12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="1" customFormat="1" ht="16.95" customHeight="1" spans="1:26">
      <c r="A20" s="24" t="s">
        <v>96</v>
      </c>
      <c r="B20" s="25" t="s">
        <v>97</v>
      </c>
      <c r="C20" s="26">
        <v>1</v>
      </c>
      <c r="D20" s="26">
        <v>1</v>
      </c>
      <c r="E20" s="20">
        <v>0</v>
      </c>
      <c r="F20" s="19">
        <v>3</v>
      </c>
      <c r="G20" s="19"/>
      <c r="H20" s="12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="1" customFormat="1" ht="16.95" customHeight="1" spans="1:26">
      <c r="A21" s="24" t="s">
        <v>98</v>
      </c>
      <c r="B21" s="25" t="s">
        <v>99</v>
      </c>
      <c r="C21" s="26">
        <v>1</v>
      </c>
      <c r="D21" s="26">
        <v>1</v>
      </c>
      <c r="E21" s="20">
        <v>0</v>
      </c>
      <c r="F21" s="19">
        <v>3</v>
      </c>
      <c r="G21" s="19"/>
      <c r="H21" s="12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="1" customFormat="1" ht="16.95" customHeight="1" spans="1:26">
      <c r="A22" s="24" t="s">
        <v>100</v>
      </c>
      <c r="B22" s="25" t="s">
        <v>101</v>
      </c>
      <c r="C22" s="26">
        <v>1</v>
      </c>
      <c r="D22" s="26">
        <v>1</v>
      </c>
      <c r="E22" s="20">
        <v>0</v>
      </c>
      <c r="F22" s="19">
        <v>3</v>
      </c>
      <c r="G22" s="19"/>
      <c r="H22" s="12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="1" customFormat="1" ht="16.95" customHeight="1" spans="1:26">
      <c r="A23" s="27" t="s">
        <v>102</v>
      </c>
      <c r="B23" s="25" t="s">
        <v>103</v>
      </c>
      <c r="C23" s="26">
        <v>1</v>
      </c>
      <c r="D23" s="26">
        <v>1</v>
      </c>
      <c r="E23" s="20">
        <v>0</v>
      </c>
      <c r="F23" s="19">
        <v>2</v>
      </c>
      <c r="G23" s="19"/>
      <c r="H23" s="12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="1" customFormat="1" ht="16.95" customHeight="1" spans="1:26">
      <c r="A24" s="27" t="s">
        <v>104</v>
      </c>
      <c r="B24" s="25" t="s">
        <v>105</v>
      </c>
      <c r="C24" s="26">
        <v>1</v>
      </c>
      <c r="D24" s="26">
        <v>1</v>
      </c>
      <c r="E24" s="20">
        <v>0</v>
      </c>
      <c r="F24" s="19">
        <v>2</v>
      </c>
      <c r="G24" s="19"/>
      <c r="H24" s="12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="1" customFormat="1" ht="16.95" customHeight="1" spans="1:26">
      <c r="A25" s="27" t="s">
        <v>106</v>
      </c>
      <c r="B25" s="25" t="s">
        <v>107</v>
      </c>
      <c r="C25" s="26">
        <v>1</v>
      </c>
      <c r="D25" s="26">
        <v>1</v>
      </c>
      <c r="E25" s="20">
        <v>0</v>
      </c>
      <c r="F25" s="19">
        <v>3</v>
      </c>
      <c r="G25" s="19"/>
      <c r="H25" s="12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="1" customFormat="1" ht="16.95" customHeight="1" spans="1:26">
      <c r="A26" s="24" t="s">
        <v>108</v>
      </c>
      <c r="B26" s="25" t="s">
        <v>109</v>
      </c>
      <c r="C26" s="26">
        <v>1</v>
      </c>
      <c r="D26" s="26">
        <v>1</v>
      </c>
      <c r="E26" s="20">
        <v>0</v>
      </c>
      <c r="F26" s="19">
        <v>2</v>
      </c>
      <c r="G26" s="19"/>
      <c r="H26" s="12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="1" customFormat="1" ht="16.95" customHeight="1" spans="1:26">
      <c r="A27" s="24" t="s">
        <v>110</v>
      </c>
      <c r="B27" s="25" t="s">
        <v>111</v>
      </c>
      <c r="C27" s="26">
        <v>1</v>
      </c>
      <c r="D27" s="26">
        <f>(97/98)*100%</f>
        <v>0.989795918367347</v>
      </c>
      <c r="E27" s="20">
        <v>0</v>
      </c>
      <c r="F27" s="19">
        <v>3</v>
      </c>
      <c r="G27" s="19"/>
      <c r="H27" s="12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="1" customFormat="1" ht="16.95" customHeight="1" spans="1:26">
      <c r="A28" s="24" t="s">
        <v>112</v>
      </c>
      <c r="B28" s="25" t="s">
        <v>113</v>
      </c>
      <c r="C28" s="26">
        <v>1</v>
      </c>
      <c r="D28" s="26">
        <v>1</v>
      </c>
      <c r="E28" s="20">
        <v>0</v>
      </c>
      <c r="F28" s="19">
        <v>2</v>
      </c>
      <c r="G28" s="19"/>
      <c r="H28" s="12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="1" customFormat="1" ht="16.95" customHeight="1" spans="1:26">
      <c r="A29" s="24" t="s">
        <v>114</v>
      </c>
      <c r="B29" s="25" t="s">
        <v>115</v>
      </c>
      <c r="C29" s="26">
        <v>1</v>
      </c>
      <c r="D29" s="26">
        <v>1</v>
      </c>
      <c r="E29" s="20">
        <v>0</v>
      </c>
      <c r="F29" s="19">
        <v>3</v>
      </c>
      <c r="G29" s="19"/>
      <c r="H29" s="12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="1" customFormat="1" ht="16.95" customHeight="1" spans="1:26">
      <c r="A30" s="27" t="s">
        <v>116</v>
      </c>
      <c r="B30" s="25" t="s">
        <v>117</v>
      </c>
      <c r="C30" s="26">
        <v>1</v>
      </c>
      <c r="D30" s="26">
        <v>1</v>
      </c>
      <c r="E30" s="20">
        <v>0</v>
      </c>
      <c r="F30" s="19">
        <v>2</v>
      </c>
      <c r="G30" s="19"/>
      <c r="H30" s="12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="1" customFormat="1" ht="16.95" customHeight="1" spans="1:26">
      <c r="A31" s="24" t="s">
        <v>118</v>
      </c>
      <c r="B31" s="25" t="s">
        <v>119</v>
      </c>
      <c r="C31" s="26">
        <v>1</v>
      </c>
      <c r="D31" s="26">
        <v>1</v>
      </c>
      <c r="E31" s="20">
        <v>0</v>
      </c>
      <c r="F31" s="19">
        <v>2</v>
      </c>
      <c r="G31" s="19"/>
      <c r="H31" s="12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="1" customFormat="1" ht="16.95" customHeight="1" spans="1:26">
      <c r="A32" s="24" t="s">
        <v>120</v>
      </c>
      <c r="B32" s="25" t="s">
        <v>121</v>
      </c>
      <c r="C32" s="26">
        <v>1</v>
      </c>
      <c r="D32" s="26">
        <v>1</v>
      </c>
      <c r="E32" s="20">
        <v>0</v>
      </c>
      <c r="F32" s="19">
        <v>2</v>
      </c>
      <c r="G32" s="19"/>
      <c r="H32" s="12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="1" customFormat="1" ht="16.95" customHeight="1" spans="1:26">
      <c r="A33" s="24" t="s">
        <v>122</v>
      </c>
      <c r="B33" s="25" t="s">
        <v>123</v>
      </c>
      <c r="C33" s="26">
        <v>1</v>
      </c>
      <c r="D33" s="26">
        <v>1</v>
      </c>
      <c r="E33" s="20">
        <v>0</v>
      </c>
      <c r="F33" s="19">
        <v>2</v>
      </c>
      <c r="G33" s="19"/>
      <c r="H33" s="12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="1" customFormat="1" ht="16.95" customHeight="1" spans="1:26">
      <c r="A34" s="24" t="s">
        <v>124</v>
      </c>
      <c r="B34" s="25" t="s">
        <v>125</v>
      </c>
      <c r="C34" s="26">
        <v>1</v>
      </c>
      <c r="D34" s="26">
        <v>1</v>
      </c>
      <c r="E34" s="20">
        <v>0</v>
      </c>
      <c r="F34" s="19">
        <v>2</v>
      </c>
      <c r="G34" s="19"/>
      <c r="H34" s="12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="1" customFormat="1" ht="16.95" customHeight="1" spans="1:26">
      <c r="A35" s="24" t="s">
        <v>126</v>
      </c>
      <c r="B35" s="25" t="s">
        <v>127</v>
      </c>
      <c r="C35" s="26">
        <v>1</v>
      </c>
      <c r="D35" s="26">
        <v>1</v>
      </c>
      <c r="E35" s="20">
        <v>0</v>
      </c>
      <c r="F35" s="19">
        <v>2</v>
      </c>
      <c r="G35" s="19"/>
      <c r="H35" s="12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="1" customFormat="1" ht="16.95" customHeight="1" spans="1:26">
      <c r="A36" s="24" t="s">
        <v>128</v>
      </c>
      <c r="B36" s="25" t="s">
        <v>129</v>
      </c>
      <c r="C36" s="26">
        <v>1</v>
      </c>
      <c r="D36" s="26">
        <v>1</v>
      </c>
      <c r="E36" s="20">
        <v>0</v>
      </c>
      <c r="F36" s="19">
        <v>2</v>
      </c>
      <c r="G36" s="19"/>
      <c r="H36" s="12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="1" customFormat="1" ht="16.95" customHeight="1" spans="1:26">
      <c r="A37" s="27" t="s">
        <v>130</v>
      </c>
      <c r="B37" s="25" t="s">
        <v>131</v>
      </c>
      <c r="C37" s="26">
        <v>1</v>
      </c>
      <c r="D37" s="26">
        <v>1</v>
      </c>
      <c r="E37" s="20">
        <v>0</v>
      </c>
      <c r="F37" s="19">
        <v>2</v>
      </c>
      <c r="G37" s="19"/>
      <c r="H37" s="12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="1" customFormat="1" ht="16.95" customHeight="1" spans="1:26">
      <c r="A38" s="27" t="s">
        <v>132</v>
      </c>
      <c r="B38" s="25" t="s">
        <v>133</v>
      </c>
      <c r="C38" s="26">
        <v>1</v>
      </c>
      <c r="D38" s="26">
        <f>(112/115)*100%</f>
        <v>0.973913043478261</v>
      </c>
      <c r="E38" s="20">
        <v>0</v>
      </c>
      <c r="F38" s="19">
        <v>2</v>
      </c>
      <c r="G38" s="19"/>
      <c r="H38" s="12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="1" customFormat="1" ht="16.95" customHeight="1" spans="1:26">
      <c r="A39" s="24" t="s">
        <v>134</v>
      </c>
      <c r="B39" s="25" t="s">
        <v>135</v>
      </c>
      <c r="C39" s="26">
        <v>1</v>
      </c>
      <c r="D39" s="26">
        <v>1</v>
      </c>
      <c r="E39" s="20">
        <v>0</v>
      </c>
      <c r="F39" s="19">
        <v>2</v>
      </c>
      <c r="G39" s="19"/>
      <c r="H39" s="12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="1" customFormat="1" ht="16.95" customHeight="1" spans="1:26">
      <c r="A40" s="24" t="s">
        <v>136</v>
      </c>
      <c r="B40" s="25" t="s">
        <v>137</v>
      </c>
      <c r="C40" s="26">
        <v>1</v>
      </c>
      <c r="D40" s="26">
        <v>1</v>
      </c>
      <c r="E40" s="20">
        <v>0</v>
      </c>
      <c r="F40" s="19">
        <v>2</v>
      </c>
      <c r="G40" s="19"/>
      <c r="H40" s="12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="1" customFormat="1" ht="16.95" customHeight="1" spans="1:26">
      <c r="A41" s="24" t="s">
        <v>138</v>
      </c>
      <c r="B41" s="25" t="s">
        <v>139</v>
      </c>
      <c r="C41" s="26">
        <v>1</v>
      </c>
      <c r="D41" s="26">
        <v>1</v>
      </c>
      <c r="E41" s="20">
        <v>0</v>
      </c>
      <c r="F41" s="19">
        <v>2</v>
      </c>
      <c r="G41" s="19"/>
      <c r="H41" s="12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="1" customFormat="1" ht="16.95" customHeight="1" spans="1:26">
      <c r="A42" s="24" t="s">
        <v>140</v>
      </c>
      <c r="B42" s="25" t="s">
        <v>141</v>
      </c>
      <c r="C42" s="26">
        <v>1</v>
      </c>
      <c r="D42" s="26">
        <v>1</v>
      </c>
      <c r="E42" s="20">
        <v>0</v>
      </c>
      <c r="F42" s="19">
        <v>2</v>
      </c>
      <c r="G42" s="19"/>
      <c r="H42" s="12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="1" customFormat="1" ht="16.95" customHeight="1" spans="1:26">
      <c r="A43" s="27" t="s">
        <v>142</v>
      </c>
      <c r="B43" s="25" t="s">
        <v>143</v>
      </c>
      <c r="C43" s="26">
        <v>1</v>
      </c>
      <c r="D43" s="26">
        <f>(87/88)*100%</f>
        <v>0.988636363636364</v>
      </c>
      <c r="E43" s="20">
        <v>0</v>
      </c>
      <c r="F43" s="19">
        <v>2</v>
      </c>
      <c r="G43" s="19"/>
      <c r="H43" s="12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="1" customFormat="1" ht="16.95" customHeight="1" spans="1:26">
      <c r="A44" s="27" t="s">
        <v>144</v>
      </c>
      <c r="B44" s="25" t="s">
        <v>145</v>
      </c>
      <c r="C44" s="26">
        <v>1</v>
      </c>
      <c r="D44" s="26">
        <v>1</v>
      </c>
      <c r="E44" s="20">
        <v>0</v>
      </c>
      <c r="F44" s="19">
        <v>2</v>
      </c>
      <c r="G44" s="19"/>
      <c r="H44" s="12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="1" customFormat="1" ht="16.95" customHeight="1" spans="1:26">
      <c r="A45" s="24" t="s">
        <v>146</v>
      </c>
      <c r="B45" s="25" t="s">
        <v>147</v>
      </c>
      <c r="C45" s="26">
        <v>1</v>
      </c>
      <c r="D45" s="26">
        <v>1</v>
      </c>
      <c r="E45" s="20">
        <v>0</v>
      </c>
      <c r="F45" s="19">
        <v>2</v>
      </c>
      <c r="G45" s="19"/>
      <c r="H45" s="12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="1" customFormat="1" ht="16.95" customHeight="1" spans="1:26">
      <c r="A46" s="28"/>
      <c r="B46" s="28"/>
      <c r="C46" s="28"/>
      <c r="D46" s="28"/>
      <c r="E46" s="28"/>
      <c r="F46" s="29"/>
      <c r="G46" s="3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="1" customFormat="1" ht="16.95" customHeight="1" spans="1:26">
      <c r="A47" s="28"/>
      <c r="B47" s="28"/>
      <c r="C47" s="28"/>
      <c r="D47" s="28"/>
      <c r="E47" s="28"/>
      <c r="F47" s="29"/>
      <c r="G47" s="3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="1" customFormat="1" ht="16.95" customHeight="1" spans="1:26">
      <c r="A48" s="28"/>
      <c r="B48" s="28"/>
      <c r="C48" s="28"/>
      <c r="D48" s="28"/>
      <c r="E48" s="28"/>
      <c r="F48" s="29"/>
      <c r="G48" s="3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="1" customFormat="1" ht="16.95" customHeight="1" spans="1:26">
      <c r="A49" s="28"/>
      <c r="B49" s="28"/>
      <c r="C49" s="28"/>
      <c r="D49" s="28"/>
      <c r="E49" s="28"/>
      <c r="F49" s="29"/>
      <c r="G49" s="3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="1" customFormat="1" ht="16.95" customHeight="1" spans="1:26">
      <c r="A50" s="23" t="s">
        <v>84</v>
      </c>
      <c r="B50" s="23" t="s">
        <v>14</v>
      </c>
      <c r="C50" s="23" t="s">
        <v>85</v>
      </c>
      <c r="D50" s="23" t="s">
        <v>86</v>
      </c>
      <c r="E50" s="23" t="s">
        <v>18</v>
      </c>
      <c r="F50" s="12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="1" customFormat="1" ht="16.95" customHeight="1" spans="1:26">
      <c r="A51" s="31"/>
      <c r="B51" s="19"/>
      <c r="C51" s="19"/>
      <c r="D51" s="19"/>
      <c r="E51" s="19"/>
      <c r="F51" s="12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="1" customFormat="1" ht="17.55" spans="1:26">
      <c r="A52" s="13" t="s">
        <v>87</v>
      </c>
      <c r="B52" s="32" t="s">
        <v>88</v>
      </c>
      <c r="C52" s="33">
        <v>0</v>
      </c>
      <c r="D52" s="19"/>
      <c r="E52" s="19"/>
      <c r="F52" s="12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="1" customFormat="1" ht="17.55" spans="1:26">
      <c r="A53" s="13"/>
      <c r="B53" s="32" t="s">
        <v>89</v>
      </c>
      <c r="C53" s="33">
        <v>28</v>
      </c>
      <c r="D53" s="19"/>
      <c r="E53" s="19"/>
      <c r="F53" s="12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="1" customFormat="1" ht="16.95" customHeight="1" spans="1:26">
      <c r="A54" s="13"/>
      <c r="B54" s="32" t="s">
        <v>90</v>
      </c>
      <c r="C54" s="33">
        <v>28</v>
      </c>
      <c r="D54" s="19"/>
      <c r="E54" s="19"/>
      <c r="F54" s="12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="1" customFormat="1" ht="17.55" spans="1:26">
      <c r="A55" s="30"/>
      <c r="B55" s="30"/>
      <c r="C55" s="30"/>
      <c r="D55" s="30"/>
      <c r="E55" s="30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="1" customFormat="1" ht="17.55" spans="1:2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="1" customFormat="1" ht="17.55" spans="1:2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="1" customFormat="1" ht="17.55" spans="1:2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="1" customFormat="1" ht="17.55" spans="1:2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="1" customFormat="1" ht="17.55" spans="1:2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="1" customFormat="1" ht="17.55" spans="1:2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="1" customFormat="1" ht="17.55" spans="1:2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="1" customFormat="1" ht="17.55" spans="1:2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="1" customFormat="1" ht="17.55" spans="1:2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="1" customFormat="1" ht="17.55" spans="1:2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="1" customFormat="1" ht="17.55" spans="1:2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="1" customFormat="1" ht="17.55" spans="1:2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="1" customFormat="1" ht="17.55" spans="1:2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="1" customFormat="1" ht="17.55" spans="1:2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="1" customFormat="1" ht="17.55" spans="1:2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="1" customFormat="1" ht="17.55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="1" customFormat="1" ht="17.55" spans="1:2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="1" customFormat="1" ht="17.55" spans="1:2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="1" customFormat="1" ht="17.55" spans="1:2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="1" customFormat="1" ht="17.55" spans="1:2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="1" customFormat="1" ht="17.55" spans="1:2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="1" customFormat="1" ht="17.55" spans="1:2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="1" customFormat="1" ht="17.55" spans="1:2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="1" customFormat="1" ht="17.55" spans="1:2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="1" customFormat="1" ht="17.55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="1" customFormat="1" ht="17.55" spans="1:2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="1" customFormat="1" ht="17.55" spans="1:2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="1" customFormat="1" ht="17.55" spans="1:2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="1" customFormat="1" ht="17.55" spans="1:2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="1" customFormat="1" ht="17.55" spans="1:2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="1" customFormat="1" ht="17.55" spans="1:2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="1" customFormat="1" ht="17.55" spans="1:2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="1" customFormat="1" ht="17.55" spans="1:2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="1" customFormat="1" ht="17.55" spans="1:2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="1" customFormat="1" ht="17.55" spans="1:2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="1" customFormat="1" ht="17.55" spans="1:2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="1" customFormat="1" ht="17.55" spans="1:2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="1" customFormat="1" ht="17.55" spans="1:2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="1" customFormat="1" ht="17.55" spans="1:2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="1" customFormat="1" ht="17.55" spans="1:2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="1" customFormat="1" ht="17.55" spans="1:2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="1" customFormat="1" ht="17.55" spans="1:2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="1" customFormat="1" ht="17.55" spans="1:2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="1" customFormat="1" ht="17.55" spans="1:2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="1" customFormat="1" ht="17.55" spans="1:2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="1" customFormat="1" ht="17.55" spans="1:2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="1" customFormat="1" ht="17.55" spans="1:2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="1" customFormat="1" ht="17.55" spans="1:2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="1" customFormat="1" ht="17.55" spans="1:2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="1" customFormat="1" ht="17.55" spans="1:2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="1" customFormat="1" ht="17.55" spans="1:2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="1" customFormat="1" ht="17.55" spans="1:2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="1" customFormat="1" ht="17.55" spans="1:2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="1" customFormat="1" ht="17.55" spans="1:2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="1" customFormat="1" ht="17.55" spans="1:2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="1" customFormat="1" ht="17.55" spans="1:2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="1" customFormat="1" ht="17.55" spans="1:2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="1" customFormat="1" ht="17.55" spans="1:2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="1" customFormat="1" ht="17.55" spans="1:2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="1" customFormat="1" ht="17.55" spans="1:2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="1" customFormat="1" ht="17.55" spans="1:2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="1" customFormat="1" ht="17.55" spans="1:2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="1" customFormat="1" ht="17.55" spans="1:2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="1" customFormat="1" ht="17.55" spans="1:2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="1" customFormat="1" ht="17.55" spans="1:2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="1" customFormat="1" ht="17.55" spans="1:2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="1" customFormat="1" ht="17.55" spans="1:2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="1" customFormat="1" ht="17.55" spans="1:2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="1" customFormat="1" ht="17.55" spans="1:2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="1" customFormat="1" ht="17.55" spans="1:2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="1" customFormat="1" ht="17.55" spans="1: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="1" customFormat="1" ht="17.55" spans="1:2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="1" customFormat="1" ht="17.55" spans="1:2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="1" customFormat="1" ht="17.55" spans="1:2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="1" customFormat="1" ht="17.55" spans="1:2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="1" customFormat="1" ht="17.55" spans="1:2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="1" customFormat="1" ht="17.55" spans="1:2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="1" customFormat="1" ht="17.55" spans="1:2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="1" customFormat="1" ht="17.55" spans="1:2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="1" customFormat="1" ht="17.55" spans="1:2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="1" customFormat="1" ht="17.55" spans="1:2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="1" customFormat="1" ht="17.55" spans="1:2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="1" customFormat="1" ht="17.55" spans="1:2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="1" customFormat="1" ht="17.55" spans="1:2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="1" customFormat="1" ht="17.55" spans="1:2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="1" customFormat="1" ht="17.55" spans="1:2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="1" customFormat="1" ht="17.55" spans="1:2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="1" customFormat="1" ht="17.55" spans="1:2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="1" customFormat="1" ht="17.55" spans="1:2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="1" customFormat="1" ht="17.55" spans="1:2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="1" customFormat="1" ht="17.55" spans="1:2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="1" customFormat="1" ht="17.55" spans="1:2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="1" customFormat="1" ht="17.55" spans="1:2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="1" customFormat="1" ht="17.55" spans="1:2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="1" customFormat="1" ht="17.55" spans="1:2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="1" customFormat="1" ht="17.55" spans="1:2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="1" customFormat="1" ht="17.55" spans="1:2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="1" customFormat="1" ht="17.55" spans="1:2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="1" customFormat="1" ht="17.55" spans="1:2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="1" customFormat="1" ht="17.55" spans="1:2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="1" customFormat="1" ht="17.55" spans="1:2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="1" customFormat="1" ht="17.55" spans="1:2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="1" customFormat="1" ht="17.55" spans="1:2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="1" customFormat="1" ht="17.55" spans="1:2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="1" customFormat="1" ht="17.55" spans="1:2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="1" customFormat="1" ht="17.55" spans="1:2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="1" customFormat="1" ht="17.55" spans="1:2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="1" customFormat="1" ht="17.55" spans="1:2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="1" customFormat="1" ht="17.55" spans="1:2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="1" customFormat="1" ht="17.55" spans="1:2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="1" customFormat="1" ht="17.55" spans="1:2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="1" customFormat="1" ht="17.55" spans="1:2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="1" customFormat="1" ht="17.55" spans="1:2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="1" customFormat="1" ht="17.55" spans="1:2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="1" customFormat="1" ht="17.55" spans="1:2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="1" customFormat="1" ht="17.55" spans="1:2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="1" customFormat="1" ht="17.55" spans="1:2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="1" customFormat="1" ht="17.55" spans="1:2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="1" customFormat="1" ht="17.55" spans="1:2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="1" customFormat="1" ht="17.55" spans="1:2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="1" customFormat="1" ht="17.55" spans="1:2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="1" customFormat="1" ht="17.55" spans="1:2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="1" customFormat="1" ht="17.55" spans="1:2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="1" customFormat="1" ht="17.55" spans="1:2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="1" customFormat="1" ht="17.55" spans="1:2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="1" customFormat="1" ht="17.55" spans="1:2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="1" customFormat="1" ht="17.55" spans="1:2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="1" customFormat="1" ht="17.55" spans="1:2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="1" customFormat="1" ht="17.55" spans="1:2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="1" customFormat="1" ht="17.55" spans="1:2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="1" customFormat="1" ht="17.55" spans="1:2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="1" customFormat="1" ht="17.55" spans="1:2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="1" customFormat="1" ht="17.55" spans="1:2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="1" customFormat="1" ht="17.55" spans="1:2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="1" customFormat="1" ht="17.55" spans="1:2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="1" customFormat="1" ht="17.55" spans="1:2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="1" customFormat="1" ht="17.55" spans="1:2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="1" customFormat="1" ht="17.55" spans="1:2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="1" customFormat="1" ht="17.55" spans="1:2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="1" customFormat="1" ht="17.55" spans="1:2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="1" customFormat="1" ht="17.55" spans="1:2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="1" customFormat="1" ht="17.55" spans="1:2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="1" customFormat="1" ht="17.55" spans="1:2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="1" customFormat="1" ht="17.55" spans="1:2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="1" customFormat="1" ht="17.55" spans="1:2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="1" customFormat="1" ht="17.55" spans="1:2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="1" customFormat="1" ht="17.55" spans="1:2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="1" customFormat="1" ht="17.55" spans="1:2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="1" customFormat="1" ht="17.55" spans="1:2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="1" customFormat="1" ht="17.55" spans="1:2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="1" customFormat="1" ht="17.55" spans="1:2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="1" customFormat="1" ht="17.55" spans="1:2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="1" customFormat="1" ht="17.55" spans="1:2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="1" customFormat="1" ht="17.55" spans="1:2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="1" customFormat="1" ht="17.55" spans="1:2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="1" customFormat="1" ht="17.55" spans="1:2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="1" customFormat="1" ht="17.55" spans="1:2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="1" customFormat="1" ht="17.55" spans="1:2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="1" customFormat="1" ht="17.55" spans="1:2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="1" customFormat="1" ht="17.55" spans="1:2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="1" customFormat="1" ht="17.55" spans="1:2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="1" customFormat="1" ht="17.55" spans="1:2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="1" customFormat="1" ht="17.55" spans="1:2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="1" customFormat="1" ht="17.55" spans="1:2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="1" customFormat="1" ht="17.55" spans="1:2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="1" customFormat="1" ht="17.55" spans="1:2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="1" customFormat="1" ht="17.55" spans="1:2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="1" customFormat="1" ht="17.55" spans="1:2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="1" customFormat="1" ht="17.55" spans="1:2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="1" customFormat="1" ht="17.55" spans="1:26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="1" customFormat="1" ht="17.55" spans="1: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="1" customFormat="1" ht="17.55" spans="1:26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="1" customFormat="1" ht="17.55" spans="1:26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="1" customFormat="1" ht="17.55" spans="1:26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="1" customFormat="1" ht="17.55" spans="1:26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="1" customFormat="1" ht="17.55" spans="1:26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="1" customFormat="1" ht="17.55" spans="1:26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="1" customFormat="1" ht="17.55" spans="1:26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="1" customFormat="1" ht="17.55" spans="1:26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="1" customFormat="1" ht="17.55" spans="1:26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="1" customFormat="1" ht="17.55" spans="1:2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="1" customFormat="1" ht="17.55" spans="1:26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="1" customFormat="1" ht="17.55" spans="1:26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="1" customFormat="1" ht="17.55" spans="1:26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="1" customFormat="1" ht="17.55" spans="1:26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="1" customFormat="1" ht="17.55" spans="1:26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="1" customFormat="1" ht="17.55" spans="1:26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="1" customFormat="1" ht="17.55" spans="1:26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="1" customFormat="1" ht="17.55" spans="1:26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="1" customFormat="1" ht="17.55" spans="1:26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="1" customFormat="1" ht="17.55" spans="1:2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="1" customFormat="1" ht="17.55" spans="1:26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="1" customFormat="1" ht="17.55" spans="1:26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="1" customFormat="1" ht="17.55" spans="1:26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="1" customFormat="1" ht="17.55" spans="1:26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="1" customFormat="1" ht="17.55" spans="1:26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="1" customFormat="1" ht="17.55" spans="1:26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="1" customFormat="1" ht="17.55" spans="1:26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="1" customFormat="1" ht="17.55" spans="1:26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="1" customFormat="1" ht="17.55" spans="1:26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="1" customFormat="1" ht="17.55" spans="1:2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="1" customFormat="1" ht="17.55" spans="1:26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="1" customFormat="1" ht="17.55" spans="1:26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="1" customFormat="1" ht="17.55" spans="1:26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="1" customFormat="1" ht="17.55" spans="1:26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="1" customFormat="1" ht="17.55" spans="1:26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="1" customFormat="1" ht="17.55" spans="1:26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="1" customFormat="1" ht="17.55" spans="1:26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="1" customFormat="1" ht="17.55" spans="1:26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="1" customFormat="1" ht="17.55" spans="1:26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="1" customFormat="1" ht="17.55" spans="1:2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="1" customFormat="1" ht="17.55" spans="1:26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="1" customFormat="1" ht="17.55" spans="1:26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="1" customFormat="1" ht="17.55" spans="1:26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="1" customFormat="1" ht="17.55" spans="1:26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="1" customFormat="1" ht="17.55" spans="1:26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="1" customFormat="1" ht="17.55" spans="1:26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="1" customFormat="1" ht="17.55" spans="1:26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="1" customFormat="1" ht="17.55" spans="1:26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="1" customFormat="1" ht="17.55" spans="1:26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="1" customFormat="1" ht="17.55" spans="1:2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="1" customFormat="1" ht="17.55" spans="1:26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="1" customFormat="1" ht="17.55" spans="1:26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="1" customFormat="1" ht="17.55" spans="1:26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="1" customFormat="1" ht="17.55" spans="1:26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="1" customFormat="1" ht="17.55" spans="1:26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="1" customFormat="1" ht="17.55" spans="1:26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="1" customFormat="1" ht="17.55" spans="1:26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="1" customFormat="1" ht="17.55" spans="1:26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="1" customFormat="1" ht="17.55" spans="1:26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="1" customFormat="1" ht="17.55" spans="1:2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="1" customFormat="1" ht="17.55" spans="1:26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="1" customFormat="1" ht="17.55" spans="1:26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="1" customFormat="1" ht="17.55" spans="1:26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="1" customFormat="1" ht="17.55" spans="1:26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="1" customFormat="1" ht="17.55" spans="1:26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="1" customFormat="1" ht="17.55" spans="1:26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="1" customFormat="1" ht="17.55" spans="1:26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="1" customFormat="1" ht="17.55" spans="1:26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="1" customFormat="1" ht="17.55" spans="1:26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="1" customFormat="1" ht="17.55" spans="1:2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="1" customFormat="1" ht="17.55" spans="1:26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="1" customFormat="1" ht="17.55" spans="1:26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="1" customFormat="1" ht="17.55" spans="1:26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="1" customFormat="1" ht="17.55" spans="1:26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="1" customFormat="1" ht="17.55" spans="1:26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="1" customFormat="1" ht="17.55" spans="1:26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="1" customFormat="1" ht="17.55" spans="1:26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="1" customFormat="1" ht="17.55" spans="1:26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="1" customFormat="1" ht="17.55" spans="1:26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="1" customFormat="1" ht="17.55" spans="1:2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="1" customFormat="1" ht="17.55" spans="1:26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="1" customFormat="1" ht="17.55" spans="1:26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="1" customFormat="1" ht="17.55" spans="1:26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="1" customFormat="1" ht="17.55" spans="1:26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="1" customFormat="1" ht="17.55" spans="1:26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="1" customFormat="1" ht="17.55" spans="1:26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="1" customFormat="1" ht="17.55" spans="1:26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="1" customFormat="1" ht="17.55" spans="1:26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="1" customFormat="1" ht="17.55" spans="1:26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="1" customFormat="1" ht="17.55" spans="1:2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="1" customFormat="1" ht="17.55" spans="1:26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="1" customFormat="1" ht="17.55" spans="1:26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="1" customFormat="1" ht="17.55" spans="1:26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="1" customFormat="1" ht="17.55" spans="1:26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="1" customFormat="1" ht="17.55" spans="1:26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="1" customFormat="1" ht="17.55" spans="1:26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="1" customFormat="1" ht="17.55" spans="1:26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="1" customFormat="1" ht="17.55" spans="1:26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="1" customFormat="1" ht="17.55" spans="1:26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="1" customFormat="1" ht="17.55" spans="1: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="1" customFormat="1" ht="17.55" spans="1:26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="1" customFormat="1" ht="17.55" spans="1:26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="1" customFormat="1" ht="17.55" spans="1:26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="1" customFormat="1" ht="17.55" spans="1:26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="1" customFormat="1" ht="17.55" spans="1:26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="1" customFormat="1" ht="17.55" spans="1:26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="1" customFormat="1" ht="17.55" spans="1:26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="1" customFormat="1" ht="17.55" spans="1:26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="1" customFormat="1" ht="17.55" spans="1:26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="1" customFormat="1" ht="17.55" spans="1:2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="1" customFormat="1" ht="17.55" spans="1:26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="1" customFormat="1" ht="17.55" spans="1:26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="1" customFormat="1" ht="17.55" spans="1:26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="1" customFormat="1" ht="17.55" spans="1:26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="1" customFormat="1" ht="17.55" spans="1:26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="1" customFormat="1" ht="17.55" spans="1:26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="1" customFormat="1" ht="17.55" spans="1:26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="1" customFormat="1" ht="17.55" spans="1:26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="1" customFormat="1" ht="17.55" spans="1:26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="1" customFormat="1" ht="17.55" spans="1:2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="1" customFormat="1" ht="17.55" spans="1:26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="1" customFormat="1" ht="17.55" spans="1:26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="1" customFormat="1" ht="17.55" spans="1:2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="1" customFormat="1" ht="17.55" spans="1:2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="1" customFormat="1" ht="17.55" spans="1:26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="1" customFormat="1" ht="17.55" spans="1:26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="1" customFormat="1" ht="17.55" spans="1:26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="1" customFormat="1" ht="17.55" spans="1:26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="1" customFormat="1" ht="17.55" spans="1:26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="1" customFormat="1" ht="17.55" spans="1:2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="1" customFormat="1" ht="17.55" spans="1:26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="1" customFormat="1" ht="17.55" spans="1:26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="1" customFormat="1" ht="17.55" spans="1:26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="1" customFormat="1" ht="17.55" spans="1:26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="1" customFormat="1" ht="17.55" spans="1:26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="1" customFormat="1" ht="17.55" spans="1:26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="1" customFormat="1" ht="17.55" spans="1:26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="1" customFormat="1" ht="17.55" spans="1:26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="1" customFormat="1" ht="17.55" spans="1:26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="1" customFormat="1" ht="17.55" spans="1:2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="1" customFormat="1" ht="17.55" spans="1:26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="1" customFormat="1" ht="17.55" spans="1:26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="1" customFormat="1" ht="17.55" spans="1:26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="1" customFormat="1" ht="17.55" spans="1:26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="1" customFormat="1" ht="17.55" spans="1:26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="1" customFormat="1" ht="17.55" spans="1:26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="1" customFormat="1" ht="17.55" spans="1:26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="1" customFormat="1" ht="17.55" spans="1:26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="1" customFormat="1" ht="17.55" spans="1:26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="1" customFormat="1" ht="17.55" spans="1:2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="1" customFormat="1" ht="17.55" spans="1:26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="1" customFormat="1" ht="17.55" spans="1:26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="1" customFormat="1" ht="17.55" spans="1:26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="1" customFormat="1" ht="17.55" spans="1:26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="1" customFormat="1" ht="17.55" spans="1:26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="1" customFormat="1" ht="17.55" spans="1:26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="1" customFormat="1" ht="17.55" spans="1:26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="1" customFormat="1" ht="17.55" spans="1:26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="1" customFormat="1" ht="17.55" spans="1:26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="1" customFormat="1" ht="17.55" spans="1:2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="1" customFormat="1" ht="17.55" spans="1:26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="1" customFormat="1" ht="17.55" spans="1:26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="1" customFormat="1" ht="17.55" spans="1:26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="1" customFormat="1" ht="17.55" spans="1:26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="1" customFormat="1" ht="17.55" spans="1:26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="1" customFormat="1" ht="17.55" spans="1:26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="1" customFormat="1" ht="17.55" spans="1:26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="1" customFormat="1" ht="17.55" spans="1:26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="1" customFormat="1" ht="17.55" spans="1:26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="1" customFormat="1" ht="17.55" spans="1:2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="1" customFormat="1" ht="17.55" spans="1:26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="1" customFormat="1" ht="17.55" spans="1:26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="1" customFormat="1" ht="17.55" spans="1:26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="1" customFormat="1" ht="17.55" spans="1:26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="1" customFormat="1" ht="17.55" spans="1:26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="1" customFormat="1" ht="17.55" spans="1:26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="1" customFormat="1" ht="17.55" spans="1:26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="1" customFormat="1" ht="17.55" spans="1:26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="1" customFormat="1" ht="17.55" spans="1:26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="1" customFormat="1" ht="17.55" spans="1:2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="1" customFormat="1" ht="17.55" spans="1:26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="1" customFormat="1" ht="17.55" spans="1:26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="1" customFormat="1" ht="17.55" spans="1:26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="1" customFormat="1" ht="17.55" spans="1:26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="1" customFormat="1" ht="17.55" spans="1:26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="1" customFormat="1" ht="17.55" spans="1:26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="1" customFormat="1" ht="17.55" spans="1:26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="1" customFormat="1" ht="17.55" spans="1:26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="1" customFormat="1" ht="17.55" spans="1:26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="1" customFormat="1" ht="17.55" spans="1:2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="1" customFormat="1" ht="17.55" spans="1:26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="1" customFormat="1" ht="17.55" spans="1:26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="1" customFormat="1" ht="17.55" spans="1:26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="1" customFormat="1" ht="17.55" spans="1:26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="1" customFormat="1" ht="17.55" spans="1:26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="1" customFormat="1" ht="17.55" spans="1:26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="1" customFormat="1" ht="17.55" spans="1:26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="1" customFormat="1" ht="17.55" spans="1:26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="1" customFormat="1" ht="17.55" spans="1:26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="1" customFormat="1" ht="17.55" spans="1: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="1" customFormat="1" ht="17.55" spans="1:26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="1" customFormat="1" ht="17.55" spans="1:26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="1" customFormat="1" ht="17.55" spans="1:26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="1" customFormat="1" ht="17.55" spans="1:26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="1" customFormat="1" ht="17.55" spans="1:26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="1" customFormat="1" ht="17.55" spans="1:26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="1" customFormat="1" ht="17.55" spans="1:26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="1" customFormat="1" ht="17.55" spans="1:26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="1" customFormat="1" ht="17.55" spans="1:26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="1" customFormat="1" ht="17.55" spans="1:2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="1" customFormat="1" ht="17.55" spans="1:26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="1" customFormat="1" ht="17.55" spans="1:26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="1" customFormat="1" ht="17.55" spans="1:26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="1" customFormat="1" ht="17.55" spans="1:26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="1" customFormat="1" ht="17.55" spans="1:26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="1" customFormat="1" ht="17.55" spans="1:26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="1" customFormat="1" ht="17.55" spans="1:26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="1" customFormat="1" ht="17.55" spans="1:26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="1" customFormat="1" ht="17.55" spans="1:26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="1" customFormat="1" ht="17.55" spans="1:2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="1" customFormat="1" ht="17.55" spans="1:26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="1" customFormat="1" ht="17.55" spans="1:26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="1" customFormat="1" ht="17.55" spans="1:26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="1" customFormat="1" ht="17.55" spans="1:26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="1" customFormat="1" ht="17.55" spans="1:26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="1" customFormat="1" ht="17.55" spans="1:26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="1" customFormat="1" ht="17.55" spans="1:26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="1" customFormat="1" ht="17.55" spans="1:26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="1" customFormat="1" ht="17.55" spans="1:26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="1" customFormat="1" ht="17.55" spans="1:2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="1" customFormat="1" ht="17.55" spans="1:26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="1" customFormat="1" ht="17.55" spans="1:26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="1" customFormat="1" ht="17.55" spans="1:26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="1" customFormat="1" ht="17.55" spans="1:26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="1" customFormat="1" ht="17.55" spans="1:26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="1" customFormat="1" ht="17.55" spans="1:26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="1" customFormat="1" ht="17.55" spans="1:26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="1" customFormat="1" ht="17.55" spans="1:26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="1" customFormat="1" ht="17.55" spans="1:26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="1" customFormat="1" ht="17.55" spans="1:2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="1" customFormat="1" ht="17.55" spans="1:26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="1" customFormat="1" ht="17.55" spans="1:26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="1" customFormat="1" ht="17.55" spans="1:26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="1" customFormat="1" ht="17.55" spans="1:26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="1" customFormat="1" ht="17.55" spans="1:26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="1" customFormat="1" ht="17.55" spans="1:26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="1" customFormat="1" ht="17.55" spans="1:26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="1" customFormat="1" ht="17.55" spans="1:26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="1" customFormat="1" ht="17.55" spans="1:26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="1" customFormat="1" ht="17.55" spans="1:2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="1" customFormat="1" ht="17.55" spans="1:26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="1" customFormat="1" ht="17.55" spans="1:26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="1" customFormat="1" ht="17.55" spans="1:26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="1" customFormat="1" ht="17.55" spans="1:26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="1" customFormat="1" ht="17.55" spans="1:26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="1" customFormat="1" ht="17.55" spans="1:26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="1" customFormat="1" ht="17.55" spans="1:26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="1" customFormat="1" ht="17.55" spans="1:26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="1" customFormat="1" ht="17.55" spans="1:26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="1" customFormat="1" ht="17.55" spans="1:2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="1" customFormat="1" ht="17.55" spans="1:26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="1" customFormat="1" ht="17.55" spans="1:26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="1" customFormat="1" ht="17.55" spans="1:26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="1" customFormat="1" ht="17.55" spans="1:26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="1" customFormat="1" ht="17.55" spans="1:26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="1" customFormat="1" ht="17.55" spans="1:26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="1" customFormat="1" ht="17.55" spans="1:26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="1" customFormat="1" ht="17.55" spans="1:26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="1" customFormat="1" ht="17.55" spans="1:26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="1" customFormat="1" ht="17.55" spans="1:2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="1" customFormat="1" ht="17.55" spans="1:26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="1" customFormat="1" ht="17.55" spans="1:26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="1" customFormat="1" ht="17.55" spans="1:26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="1" customFormat="1" ht="17.55" spans="1:26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="1" customFormat="1" ht="17.55" spans="1:26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="1" customFormat="1" ht="17.55" spans="1:26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="1" customFormat="1" ht="17.55" spans="1:26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="1" customFormat="1" ht="17.55" spans="1:26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="1" customFormat="1" ht="17.55" spans="1:26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="1" customFormat="1" ht="17.55" spans="1:2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="1" customFormat="1" ht="17.55" spans="1:26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="1" customFormat="1" ht="17.55" spans="1:26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="1" customFormat="1" ht="17.55" spans="1:26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="1" customFormat="1" ht="17.55" spans="1:26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="1" customFormat="1" ht="17.55" spans="1:26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="1" customFormat="1" ht="17.55" spans="1:26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="1" customFormat="1" ht="17.55" spans="1:26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="1" customFormat="1" ht="17.55" spans="1:26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="1" customFormat="1" ht="17.55" spans="1:26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="1" customFormat="1" ht="17.55" spans="1:2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="1" customFormat="1" ht="17.55" spans="1:26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="1" customFormat="1" ht="17.55" spans="1:26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="1" customFormat="1" ht="17.55" spans="1:26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="1" customFormat="1" ht="17.55" spans="1:26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="1" customFormat="1" ht="17.55" spans="1:26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="1" customFormat="1" ht="17.55" spans="1:26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="1" customFormat="1" ht="17.55" spans="1:26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="1" customFormat="1" ht="17.55" spans="1:26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="1" customFormat="1" ht="17.55" spans="1:26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="1" customFormat="1" ht="17.55" spans="1: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="1" customFormat="1" ht="17.55" spans="1:26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="1" customFormat="1" ht="17.55" spans="1:26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="1" customFormat="1" ht="17.55" spans="1:26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="1" customFormat="1" ht="17.55" spans="1:26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="1" customFormat="1" ht="17.55" spans="1:26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="1" customFormat="1" ht="17.55" spans="1:26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="1" customFormat="1" ht="17.55" spans="1:26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="1" customFormat="1" ht="17.55" spans="1:26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="1" customFormat="1" ht="17.55" spans="1:26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="1" customFormat="1" ht="17.55" spans="1:2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="1" customFormat="1" ht="17.55" spans="1:26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="1" customFormat="1" ht="17.55" spans="1:26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="1" customFormat="1" ht="17.55" spans="1:26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="1" customFormat="1" ht="17.55" spans="1:26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="1" customFormat="1" ht="17.55" spans="1:26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="1" customFormat="1" ht="17.55" spans="1:26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="1" customFormat="1" ht="17.55" spans="1:26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="1" customFormat="1" ht="17.55" spans="1:26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="1" customFormat="1" ht="17.55" spans="1:26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="1" customFormat="1" ht="17.55" spans="1:2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="1" customFormat="1" ht="17.55" spans="1:26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="1" customFormat="1" ht="17.55" spans="1:26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="1" customFormat="1" ht="17.55" spans="1:26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="1" customFormat="1" ht="17.55" spans="1:26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="1" customFormat="1" ht="17.55" spans="1:26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="1" customFormat="1" ht="17.55" spans="1:26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="1" customFormat="1" ht="17.55" spans="1:26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="1" customFormat="1" ht="17.55" spans="1:26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="1" customFormat="1" ht="17.55" spans="1:26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="1" customFormat="1" ht="17.55" spans="1:2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="1" customFormat="1" ht="17.55" spans="1:26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="1" customFormat="1" ht="17.55" spans="1:26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="1" customFormat="1" ht="17.55" spans="1:26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="1" customFormat="1" ht="17.55" spans="1:26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="1" customFormat="1" ht="17.55" spans="1:26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="1" customFormat="1" ht="17.55" spans="1:26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="1" customFormat="1" ht="17.55" spans="1:26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="1" customFormat="1" ht="17.55" spans="1:26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="1" customFormat="1" ht="17.55" spans="1:26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="1" customFormat="1" ht="17.55" spans="1:2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="1" customFormat="1" ht="17.55" spans="1:26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="1" customFormat="1" ht="17.55" spans="1:26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="1" customFormat="1" ht="17.55" spans="1:26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="1" customFormat="1" ht="17.55" spans="1:26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="1" customFormat="1" ht="17.55" spans="1:26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="1" customFormat="1" ht="17.55" spans="1:26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="1" customFormat="1" ht="17.55" spans="1:26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="1" customFormat="1" ht="17.55" spans="1:26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="1" customFormat="1" ht="17.55" spans="1:26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="1" customFormat="1" ht="17.55" spans="1:2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="1" customFormat="1" ht="17.55" spans="1:26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="1" customFormat="1" ht="17.55" spans="1:26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="1" customFormat="1" ht="17.55" spans="1:26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="1" customFormat="1" ht="17.55" spans="1:26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="1" customFormat="1" ht="17.55" spans="1:26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="1" customFormat="1" ht="17.55" spans="1:26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="1" customFormat="1" ht="17.55" spans="1:26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="1" customFormat="1" ht="17.55" spans="1:26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="1" customFormat="1" ht="17.55" spans="1:26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="1" customFormat="1" ht="17.55" spans="1:2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="1" customFormat="1" ht="17.55" spans="1:26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="1" customFormat="1" ht="17.55" spans="1:26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="1" customFormat="1" ht="17.55" spans="1:26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="1" customFormat="1" ht="17.55" spans="1:26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="1" customFormat="1" ht="17.55" spans="1:26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="1" customFormat="1" ht="17.55" spans="1:26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="1" customFormat="1" ht="17.55" spans="1:26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="1" customFormat="1" ht="17.55" spans="1:26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="1" customFormat="1" ht="17.55" spans="1:26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="1" customFormat="1" ht="17.55" spans="1:2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="1" customFormat="1" ht="17.55" spans="1:26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="1" customFormat="1" ht="17.55" spans="1:26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="1" customFormat="1" ht="17.55" spans="1:26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="1" customFormat="1" ht="17.55" spans="1:26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="1" customFormat="1" ht="17.55" spans="1:26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="1" customFormat="1" ht="17.55" spans="1:26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="1" customFormat="1" ht="17.55" spans="1:26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="1" customFormat="1" ht="17.55" spans="1:26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="1" customFormat="1" ht="17.55" spans="1:26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="1" customFormat="1" ht="17.55" spans="1:2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="1" customFormat="1" ht="17.55" spans="1:26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="1" customFormat="1" ht="17.55" spans="1:26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="1" customFormat="1" ht="17.55" spans="1:26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="1" customFormat="1" ht="17.55" spans="1:26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="1" customFormat="1" ht="17.55" spans="1:26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="1" customFormat="1" ht="17.55" spans="1:26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="1" customFormat="1" ht="17.55" spans="1:26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="1" customFormat="1" ht="17.55" spans="1:26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="1" customFormat="1" ht="17.55" spans="1:26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="1" customFormat="1" ht="17.55" spans="1:2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="1" customFormat="1" ht="17.55" spans="1:26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="1" customFormat="1" ht="17.55" spans="1:26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="1" customFormat="1" ht="17.55" spans="1:26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="1" customFormat="1" ht="17.55" spans="1:26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="1" customFormat="1" ht="17.55" spans="1:26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="1" customFormat="1" ht="17.55" spans="1:26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="1" customFormat="1" ht="17.55" spans="1:26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="1" customFormat="1" ht="17.55" spans="1:26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="1" customFormat="1" ht="17.55" spans="1:26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="1" customFormat="1" ht="17.55" spans="1: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="1" customFormat="1" ht="17.55" spans="1:26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="1" customFormat="1" ht="17.55" spans="1:26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="1" customFormat="1" ht="17.55" spans="1:26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="1" customFormat="1" ht="17.55" spans="1:26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="1" customFormat="1" ht="17.55" spans="1:26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="1" customFormat="1" ht="17.55" spans="1:26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="1" customFormat="1" ht="17.55" spans="1:26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="1" customFormat="1" ht="17.55" spans="1:26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="1" customFormat="1" ht="17.55" spans="1:26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="1" customFormat="1" ht="17.55" spans="1:2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="1" customFormat="1" ht="17.55" spans="1:26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="1" customFormat="1" ht="17.55" spans="1:26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="1" customFormat="1" ht="17.55" spans="1:26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="1" customFormat="1" ht="17.55" spans="1:26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="1" customFormat="1" ht="17.55" spans="1:26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="1" customFormat="1" ht="17.55" spans="1:26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="1" customFormat="1" ht="17.55" spans="1:26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="1" customFormat="1" ht="17.55" spans="1:26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="1" customFormat="1" ht="17.55" spans="1:26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="1" customFormat="1" ht="17.55" spans="1:2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="1" customFormat="1" ht="17.55" spans="1:26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="1" customFormat="1" ht="17.55" spans="1:26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="1" customFormat="1" ht="17.55" spans="1:26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="1" customFormat="1" ht="17.55" spans="1:26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="1" customFormat="1" ht="17.55" spans="1:26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="1" customFormat="1" ht="17.55" spans="1:26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="1" customFormat="1" ht="17.55" spans="1:26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="1" customFormat="1" ht="17.55" spans="1:26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="1" customFormat="1" ht="17.55" spans="1:26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="1" customFormat="1" ht="17.55" spans="1:2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="1" customFormat="1" ht="17.55" spans="1:26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="1" customFormat="1" ht="17.55" spans="1:26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="1" customFormat="1" ht="17.55" spans="1:26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="1" customFormat="1" ht="17.55" spans="1:26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="1" customFormat="1" ht="17.55" spans="1:26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="1" customFormat="1" ht="17.55" spans="1:26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="1" customFormat="1" ht="17.55" spans="1:26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="1" customFormat="1" ht="17.55" spans="1:26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="1" customFormat="1" ht="17.55" spans="1:26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="1" customFormat="1" ht="17.55" spans="1:2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="1" customFormat="1" ht="17.55" spans="1:26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="1" customFormat="1" ht="17.55" spans="1:26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="1" customFormat="1" ht="17.55" spans="1:26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="1" customFormat="1" ht="17.55" spans="1:26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="1" customFormat="1" ht="17.55" spans="1:26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="1" customFormat="1" ht="17.55" spans="1:26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="1" customFormat="1" ht="17.55" spans="1:26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="1" customFormat="1" ht="17.55" spans="1:26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="1" customFormat="1" ht="17.55" spans="1:26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="1" customFormat="1" ht="17.55" spans="1:2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="1" customFormat="1" ht="17.55" spans="1:26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="1" customFormat="1" ht="17.55" spans="1:26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="1" customFormat="1" ht="17.55" spans="1:26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="1" customFormat="1" ht="17.55" spans="1:26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="1" customFormat="1" ht="17.55" spans="1:26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="1" customFormat="1" ht="17.55" spans="1:26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="1" customFormat="1" ht="17.55" spans="1:26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="1" customFormat="1" ht="17.55" spans="1:26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="1" customFormat="1" ht="17.55" spans="1:26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="1" customFormat="1" ht="17.55" spans="1:2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="1" customFormat="1" ht="17.55" spans="1:26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="1" customFormat="1" ht="17.55" spans="1:26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="1" customFormat="1" ht="17.55" spans="1:26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="1" customFormat="1" ht="17.55" spans="1:26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="1" customFormat="1" ht="17.55" spans="1:26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="1" customFormat="1" ht="17.55" spans="1:26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="1" customFormat="1" ht="17.55" spans="1:26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="1" customFormat="1" ht="17.55" spans="1:26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="1" customFormat="1" ht="17.55" spans="1:2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="1" customFormat="1" ht="17.55" spans="1:2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="1" customFormat="1" ht="17.55" spans="1:26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="1" customFormat="1" ht="17.55" spans="1:26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="1" customFormat="1" ht="17.55" spans="1:26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="1" customFormat="1" ht="17.55" spans="1:26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="1" customFormat="1" ht="17.55" spans="1:26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="1" customFormat="1" ht="17.55" spans="1:26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="1" customFormat="1" ht="17.55" spans="1:26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="1" customFormat="1" ht="17.55" spans="1:26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="1" customFormat="1" ht="17.55" spans="1:26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="1" customFormat="1" ht="17.55" spans="1:2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="1" customFormat="1" ht="17.55" spans="1:26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="1" customFormat="1" ht="17.55" spans="1:26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="1" customFormat="1" ht="17.55" spans="1:26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="1" customFormat="1" ht="17.55" spans="1:26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="1" customFormat="1" ht="17.55" spans="1:26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="1" customFormat="1" ht="17.55" spans="1:26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="1" customFormat="1" ht="17.55" spans="1:26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="1" customFormat="1" ht="17.55" spans="1:26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="1" customFormat="1" ht="17.55" spans="1:26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="1" customFormat="1" ht="17.55" spans="1:2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="1" customFormat="1" ht="17.55" spans="1:26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="1" customFormat="1" ht="17.55" spans="1:26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="1" customFormat="1" ht="17.55" spans="1:26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="1" customFormat="1" ht="17.55" spans="1:26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="1" customFormat="1" ht="17.55" spans="1:26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="1" customFormat="1" ht="17.55" spans="1:26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="1" customFormat="1" ht="17.55" spans="1:26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="1" customFormat="1" ht="17.55" spans="1:26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="1" customFormat="1" ht="17.55" spans="1:26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="1" customFormat="1" ht="17.55" spans="1: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="1" customFormat="1" ht="17.55" spans="1:26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="1" customFormat="1" ht="17.55" spans="1:26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="1" customFormat="1" ht="17.55" spans="1:26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="1" customFormat="1" ht="17.55" spans="1:26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="1" customFormat="1" ht="17.55" spans="1:26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="1" customFormat="1" ht="17.55" spans="1:26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="1" customFormat="1" ht="17.55" spans="1:26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="1" customFormat="1" ht="17.55" spans="1:26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="1" customFormat="1" ht="17.55" spans="1:26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="1" customFormat="1" ht="17.55" spans="1:2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="1" customFormat="1" ht="17.55" spans="1:26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="1" customFormat="1" ht="17.55" spans="1:26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="1" customFormat="1" ht="17.55" spans="1:26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="1" customFormat="1" ht="17.55" spans="1:26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="1" customFormat="1" ht="17.55" spans="1:26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="1" customFormat="1" ht="17.55" spans="1:26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="1" customFormat="1" ht="17.55" spans="1:26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="1" customFormat="1" ht="17.55" spans="1:26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="1" customFormat="1" ht="17.55" spans="1:26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="1" customFormat="1" ht="17.55" spans="1:2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="1" customFormat="1" ht="17.55" spans="1:26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="1" customFormat="1" ht="17.55" spans="1:26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="1" customFormat="1" ht="17.55" spans="1:26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="1" customFormat="1" ht="17.55" spans="1:26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="1" customFormat="1" ht="17.55" spans="1:26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="1" customFormat="1" ht="17.55" spans="1:26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="1" customFormat="1" ht="17.55" spans="1:26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="1" customFormat="1" ht="17.55" spans="1:26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="1" customFormat="1" ht="17.55" spans="1:26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="1" customFormat="1" ht="17.55" spans="1:2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="1" customFormat="1" ht="17.55" spans="1:26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="1" customFormat="1" ht="17.55" spans="1:26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="1" customFormat="1" ht="17.55" spans="1:26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="1" customFormat="1" ht="17.55" spans="1:26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="1" customFormat="1" ht="17.55" spans="1:26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="1" customFormat="1" ht="17.55" spans="1:26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="1" customFormat="1" ht="17.55" spans="1:26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="1" customFormat="1" ht="17.55" spans="1:26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="1" customFormat="1" ht="17.55" spans="1:26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="1" customFormat="1" ht="17.55" spans="1:2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="1" customFormat="1" ht="17.55" spans="1:26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="1" customFormat="1" ht="17.55" spans="1:26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="1" customFormat="1" ht="17.55" spans="1:26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="1" customFormat="1" ht="17.55" spans="1:26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="1" customFormat="1" ht="17.55" spans="1:26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="1" customFormat="1" ht="17.55" spans="1:26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="1" customFormat="1" ht="17.55" spans="1:26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="1" customFormat="1" ht="17.55" spans="1:26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="1" customFormat="1" ht="17.55" spans="1:26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="1" customFormat="1" ht="17.55" spans="1:2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="1" customFormat="1" ht="17.55" spans="1:26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="1" customFormat="1" ht="17.55" spans="1:26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="1" customFormat="1" ht="17.55" spans="1:26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="1" customFormat="1" ht="17.55" spans="1:26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="1" customFormat="1" ht="17.55" spans="1:26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="1" customFormat="1" ht="17.55" spans="1:26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="1" customFormat="1" ht="17.55" spans="1:26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="1" customFormat="1" ht="17.55" spans="1:26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="1" customFormat="1" ht="17.55" spans="1:26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="1" customFormat="1" ht="17.55" spans="1:2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="1" customFormat="1" ht="17.55" spans="1:26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="1" customFormat="1" ht="17.55" spans="1:26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="1" customFormat="1" ht="17.55" spans="1:26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="1" customFormat="1" ht="17.55" spans="1:26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="1" customFormat="1" ht="17.55" spans="1:26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="1" customFormat="1" ht="17.55" spans="1:26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="1" customFormat="1" ht="17.55" spans="1:26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="1" customFormat="1" ht="17.55" spans="1:26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="1" customFormat="1" ht="17.55" spans="1:26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="1" customFormat="1" ht="17.55" spans="1:2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="1" customFormat="1" ht="17.55" spans="1:26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="1" customFormat="1" ht="17.55" spans="1:26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="1" customFormat="1" ht="17.55" spans="1:26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="1" customFormat="1" ht="17.55" spans="1:26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="1" customFormat="1" ht="17.55" spans="1:26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="1" customFormat="1" ht="17.55" spans="1:26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="1" customFormat="1" ht="17.55" spans="1:26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="1" customFormat="1" ht="17.55" spans="1:26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="1" customFormat="1" ht="17.55" spans="1:26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="1" customFormat="1" ht="17.55" spans="1:2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="1" customFormat="1" ht="17.55" spans="1:26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="1" customFormat="1" ht="17.55" spans="1:26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="1" customFormat="1" ht="17.55" spans="1:26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="1" customFormat="1" ht="17.55" spans="1:26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="1" customFormat="1" ht="17.55" spans="1:26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="1" customFormat="1" ht="17.55" spans="1:26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="1" customFormat="1" ht="17.55" spans="1:26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="1" customFormat="1" ht="17.55" spans="1:26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="1" customFormat="1" ht="17.55" spans="1:26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="1" customFormat="1" ht="17.55" spans="1:2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="1" customFormat="1" ht="17.55" spans="1:26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="1" customFormat="1" ht="17.55" spans="1:26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="1" customFormat="1" ht="17.55" spans="1:26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="1" customFormat="1" ht="17.55" spans="1:26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="1" customFormat="1" ht="17.55" spans="1:26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="1" customFormat="1" ht="17.55" spans="1:26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="1" customFormat="1" ht="17.55" spans="1:26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="1" customFormat="1" ht="17.55" spans="1:26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="1" customFormat="1" ht="17.55" spans="1:26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="1" customFormat="1" ht="17.55" spans="1: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="1" customFormat="1" ht="17.55" spans="1:26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="1" customFormat="1" ht="17.55" spans="1:26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="1" customFormat="1" ht="17.55" spans="1:26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="1" customFormat="1" ht="17.55" spans="1:26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="1" customFormat="1" ht="17.55" spans="1:26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="1" customFormat="1" ht="17.55" spans="1:26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="1" customFormat="1" ht="17.55" spans="1:26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="1" customFormat="1" ht="17.55" spans="1:26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="1" customFormat="1" ht="17.55" spans="1:26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="1" customFormat="1" ht="17.55" spans="1:2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="1" customFormat="1" ht="17.55" spans="1:26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="1" customFormat="1" ht="17.55" spans="1:26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="1" customFormat="1" ht="17.55" spans="1:26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="1" customFormat="1" ht="17.55" spans="1:26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="1" customFormat="1" ht="17.55" spans="1:26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="1" customFormat="1" ht="17.55" spans="1:26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="1" customFormat="1" ht="17.55" spans="1:26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="1" customFormat="1" ht="17.55" spans="1:26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="1" customFormat="1" ht="17.55" spans="1:26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="1" customFormat="1" ht="17.55" spans="1:2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="1" customFormat="1" ht="17.55" spans="1:26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="1" customFormat="1" ht="17.55" spans="1:26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="1" customFormat="1" ht="17.55" spans="1:26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="1" customFormat="1" ht="17.55" spans="1:26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="1" customFormat="1" ht="17.55" spans="1:26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="1" customFormat="1" ht="17.55" spans="1:26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="1" customFormat="1" ht="17.55" spans="1:26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="1" customFormat="1" ht="17.55" spans="1:26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="1" customFormat="1" ht="17.55" spans="1:26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="1" customFormat="1" ht="17.55" spans="1:2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="1" customFormat="1" ht="17.55" spans="1:26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="1" customFormat="1" ht="17.55" spans="1:26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="1" customFormat="1" ht="17.55" spans="1:26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="1" customFormat="1" ht="17.55" spans="1:26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="1" customFormat="1" ht="17.55" spans="1:26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="1" customFormat="1" ht="17.55" spans="1:26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="1" customFormat="1" ht="17.55" spans="1:26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="1" customFormat="1" ht="17.55" spans="1:26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="1" customFormat="1" ht="17.55" spans="1:26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="1" customFormat="1" ht="17.55" spans="1:2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="1" customFormat="1" ht="17.55" spans="1:26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="1" customFormat="1" ht="17.55" spans="1:26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="1" customFormat="1" ht="17.55" spans="1:26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="1" customFormat="1" ht="17.55" spans="1:26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="1" customFormat="1" ht="17.55" spans="1:26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="1" customFormat="1" ht="17.55" spans="1:26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="1" customFormat="1" ht="17.55" spans="1:26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="1" customFormat="1" ht="17.55" spans="1:26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="1" customFormat="1" ht="17.55" spans="1:26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="1" customFormat="1" ht="17.55" spans="1:2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="1" customFormat="1" ht="17.55" spans="1:26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="1" customFormat="1" ht="17.55" spans="1:26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="1" customFormat="1" ht="17.55" spans="1:26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="1" customFormat="1" ht="17.55" spans="1:26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="1" customFormat="1" ht="17.55" spans="1:26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="1" customFormat="1" ht="17.55" spans="1:26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="1" customFormat="1" ht="17.55" spans="1:26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="1" customFormat="1" ht="17.55" spans="1:26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="1" customFormat="1" ht="17.55" spans="1:26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="1" customFormat="1" ht="17.55" spans="1:2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="1" customFormat="1" ht="17.55" spans="1:26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="1" customFormat="1" ht="17.55" spans="1:26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="1" customFormat="1" ht="17.55" spans="1:26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="1" customFormat="1" ht="17.55" spans="1:26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="1" customFormat="1" ht="17.55" spans="1:26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="1" customFormat="1" ht="17.55" spans="1:26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="1" customFormat="1" ht="17.55" spans="1:26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="1" customFormat="1" ht="17.55" spans="1:26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="1" customFormat="1" ht="17.55" spans="1:26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="1" customFormat="1" ht="17.55" spans="1:2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="1" customFormat="1" ht="17.55" spans="1:26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="1" customFormat="1" ht="17.55" spans="1:26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="1" customFormat="1" ht="17.55" spans="1:26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="1" customFormat="1" ht="17.55" spans="1:26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="1" customFormat="1" ht="17.55" spans="1:26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="1" customFormat="1" ht="17.55" spans="1:26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="1" customFormat="1" ht="17.55" spans="1:26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="1" customFormat="1" ht="17.55" spans="1:26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="1" customFormat="1" ht="17.55" spans="1:26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="1" customFormat="1" ht="17.55" spans="1:2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="1" customFormat="1" ht="17.55" spans="1:26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="1" customFormat="1" ht="17.55" spans="1:26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="1" customFormat="1" ht="17.55" spans="1:26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="1" customFormat="1" ht="17.55" spans="1:26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="1" customFormat="1" ht="17.55" spans="1:26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="1" customFormat="1" ht="17.55" spans="1:26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="1" customFormat="1" ht="17.55" spans="1:26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="1" customFormat="1" ht="17.55" spans="1:26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="1" customFormat="1" ht="17.55" spans="1:26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="1" customFormat="1" ht="17.55" spans="1:2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="1" customFormat="1" ht="17.55" spans="1:26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="1" customFormat="1" ht="17.55" spans="1:26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="1" customFormat="1" ht="17.55" spans="1:26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="1" customFormat="1" ht="17.55" spans="1:26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="1" customFormat="1" ht="17.55" spans="1:26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="1" customFormat="1" ht="17.55" spans="1:26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="1" customFormat="1" ht="17.55" spans="1:26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="1" customFormat="1" ht="17.55" spans="1:26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="1" customFormat="1" ht="17.55" spans="1:26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="1" customFormat="1" ht="17.55" spans="1: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="1" customFormat="1" ht="17.55" spans="1:26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="1" customFormat="1" ht="17.55" spans="1:26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="1" customFormat="1" ht="17.55" spans="1:26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="1" customFormat="1" ht="17.55" spans="1:26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="1" customFormat="1" ht="17.55" spans="1:26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="1" customFormat="1" ht="17.55" spans="1:26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="1" customFormat="1" ht="17.55" spans="1:26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="1" customFormat="1" ht="17.55" spans="1:26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="1" customFormat="1" ht="17.55" spans="1:26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="1" customFormat="1" ht="17.55" spans="1:2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="1" customFormat="1" ht="17.55" spans="1:26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="1" customFormat="1" ht="17.55" spans="1:26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="1" customFormat="1" ht="17.55" spans="1:26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="1" customFormat="1" ht="17.55" spans="1:26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="1" customFormat="1" ht="17.55" spans="1:26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="1" customFormat="1" ht="17.55" spans="1:26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="1" customFormat="1" ht="17.55" spans="1:26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="1" customFormat="1" ht="17.55" spans="1:26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="1" customFormat="1" ht="17.55" spans="1:26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="1" customFormat="1" ht="17.55" spans="1:2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="1" customFormat="1" ht="17.55" spans="1:26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="1" customFormat="1" ht="17.55" spans="1:26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="1" customFormat="1" ht="17.55" spans="1:26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="1" customFormat="1" ht="17.55" spans="1:26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="1" customFormat="1" ht="17.55" spans="1:26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="1" customFormat="1" ht="17.55" spans="1:26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="1" customFormat="1" ht="17.55" spans="1:26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="1" customFormat="1" ht="17.55" spans="1:26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="1" customFormat="1" ht="17.55" spans="1:26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="1" customFormat="1" ht="17.55" spans="1:2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="1" customFormat="1" ht="17.55" spans="1:26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="1" customFormat="1" ht="17.55" spans="1:26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="1" customFormat="1" ht="17.55" spans="1:26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="1" customFormat="1" ht="17.55" spans="1:26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="1" customFormat="1" ht="17.55" spans="1:26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="1" customFormat="1" ht="17.55" spans="1:26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="1" customFormat="1" ht="17.55" spans="1:26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="1" customFormat="1" ht="17.55" spans="1:26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="1" customFormat="1" ht="17.55" spans="1:26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="1" customFormat="1" ht="17.55" spans="1:2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="1" customFormat="1" ht="17.55" spans="1:26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="1" customFormat="1" ht="17.55" spans="1:26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="1" customFormat="1" ht="17.55" spans="1:26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="1" customFormat="1" ht="17.55" spans="1:26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="1" customFormat="1" ht="17.55" spans="1:26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="1" customFormat="1" ht="17.55" spans="1:26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="1" customFormat="1" ht="17.55" spans="1:26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="1" customFormat="1" ht="17.55" spans="1:26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="1" customFormat="1" ht="17.55" spans="1:26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="1" customFormat="1" ht="17.55" spans="1:2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="1" customFormat="1" ht="17.55" spans="1:26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="1" customFormat="1" ht="17.55" spans="1:26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="1" customFormat="1" ht="17.55" spans="1:26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="1" customFormat="1" ht="17.55" spans="1:26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="1" customFormat="1" ht="17.55" spans="1:26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="1" customFormat="1" ht="17.55" spans="1:26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="1" customFormat="1" ht="17.55" spans="1:26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="1" customFormat="1" ht="17.55" spans="1:26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="1" customFormat="1" ht="17.55" spans="1:26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="1" customFormat="1" ht="17.55" spans="1:2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="1" customFormat="1" ht="17.55" spans="1:26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="1" customFormat="1" ht="17.55" spans="1:26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="1" customFormat="1" ht="17.55" spans="1:26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="1" customFormat="1" ht="17.55" spans="1:26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="1" customFormat="1" ht="17.55" spans="1:26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="1" customFormat="1" ht="17.55" spans="1:26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="1" customFormat="1" ht="17.55" spans="1:26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="1" customFormat="1" ht="17.55" spans="1:26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="1" customFormat="1" ht="17.55" spans="1:26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="1" customFormat="1" ht="17.55" spans="1:2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="1" customFormat="1" ht="17.55" spans="1:26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="1" customFormat="1" ht="17.55" spans="1:26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="1" customFormat="1" ht="17.55" spans="1:26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="1" customFormat="1" ht="17.55" spans="1:26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="1" customFormat="1" ht="17.55" spans="1:26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="1" customFormat="1" ht="17.55" spans="1:26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="1" customFormat="1" ht="17.55" spans="1:26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="1" customFormat="1" ht="17.55" spans="1:26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="1" customFormat="1" ht="17.55" spans="1:26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="1" customFormat="1" ht="17.55" spans="1:2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="1" customFormat="1" ht="17.55" spans="1:26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="1" customFormat="1" ht="17.55" spans="1:26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="1" customFormat="1" ht="17.55" spans="1:26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="1" customFormat="1" ht="17.55" spans="1:26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="1" customFormat="1" ht="17.55" spans="1:26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="1" customFormat="1" ht="17.55" spans="1:26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="1" customFormat="1" ht="17.55" spans="1:26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="1" customFormat="1" ht="17.55" spans="1:26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="1" customFormat="1" ht="17.55" spans="1:26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="1" customFormat="1" ht="17.55" spans="1:2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="1" customFormat="1" ht="17.55" spans="1:26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="1" customFormat="1" ht="17.55" spans="1:26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="1" customFormat="1" ht="17.55" spans="1:26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="1" customFormat="1" ht="17.55" spans="1:26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="1" customFormat="1" ht="17.55" spans="6:7">
      <c r="F1021" s="7"/>
      <c r="G1021" s="7"/>
    </row>
  </sheetData>
  <mergeCells count="6">
    <mergeCell ref="A4:G4"/>
    <mergeCell ref="B7:C7"/>
    <mergeCell ref="A15:B15"/>
    <mergeCell ref="A8:A10"/>
    <mergeCell ref="A11:A14"/>
    <mergeCell ref="A52:A5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TestReportSprint1</vt:lpstr>
      <vt:lpstr>TestReportSprint2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Long Hoàng</cp:lastModifiedBy>
  <dcterms:created xsi:type="dcterms:W3CDTF">2021-03-25T14:33:00Z</dcterms:created>
  <dcterms:modified xsi:type="dcterms:W3CDTF">2026-05-08T07:58:58Z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A33F838CAB8C4EBBA8874EFE5540D958_12</vt:lpwstr>
  </property>
  <property fmtid="{D5CDD505-2E9C-101B-9397-08002B2CF9AE}" pid="3" name="KSOProductBuildVer">
    <vt:lpwstr>2057-12.2.0.23202</vt:lpwstr>
  </property>
</Properties>
</file>