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TestReportSprint1" sheetId="3" r:id="rId1"/>
    <sheet name="TestReportSprint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<sst xmlns="http://schemas.openxmlformats.org/spreadsheetml/2006/main" count="178" uniqueCount="148">
  <si>
    <t>Test Report Sprint 1</t>
  </si>
  <si>
    <t>Test level:</t>
  </si>
  <si>
    <t>System test</t>
  </si>
  <si>
    <t>Executed</t>
  </si>
  <si>
    <t>Passed</t>
  </si>
  <si>
    <t>Failed</t>
  </si>
  <si>
    <t>Total test Executed</t>
  </si>
  <si>
    <t>Planned</t>
  </si>
  <si>
    <t>Pending</t>
  </si>
  <si>
    <t>Inprogress</t>
  </si>
  <si>
    <t>Blocked</t>
  </si>
  <si>
    <t>Total test Planned</t>
  </si>
  <si>
    <t>Sub Total (Planned+Executed)</t>
  </si>
  <si>
    <t>Functions</t>
  </si>
  <si>
    <t>Description</t>
  </si>
  <si>
    <t>%TC Executed</t>
  </si>
  <si>
    <t>%TC Passed</t>
  </si>
  <si>
    <t>TC Pending</t>
  </si>
  <si>
    <t>Priority</t>
  </si>
  <si>
    <t>Remark</t>
  </si>
  <si>
    <t>Trang chủ</t>
  </si>
  <si>
    <t>Kiểm tra chức năng trang chủ</t>
  </si>
  <si>
    <t>Đăng nhập</t>
  </si>
  <si>
    <t>Kiểm tra chức năng đăng nhập</t>
  </si>
  <si>
    <t>Đăng ký</t>
  </si>
  <si>
    <t>Kiểm tra chức năng đăng ký</t>
  </si>
  <si>
    <t>Quên mật khẩu</t>
  </si>
  <si>
    <t>Kiểm tra chức năng quên mật khẩu</t>
  </si>
  <si>
    <t>Đặt lại mật khẩu</t>
  </si>
  <si>
    <t>Kiểm tra chức năng đặt lại mật khẩu</t>
  </si>
  <si>
    <t>Danh sách việc làm</t>
  </si>
  <si>
    <t>Kiểm tra chức năng danh sách việc làm</t>
  </si>
  <si>
    <t>Chi tiết việc làm</t>
  </si>
  <si>
    <t>Kiểm tra chức năng chi tiết việc làm</t>
  </si>
  <si>
    <t>Tìm kiếm việc làm</t>
  </si>
  <si>
    <t>Kiểm tra chức năng tìm kiếm việc làm</t>
  </si>
  <si>
    <t>Danh sách công ty</t>
  </si>
  <si>
    <t>Kiểm tra chức năng danh sách công ty</t>
  </si>
  <si>
    <t>Chi tiết công ty</t>
  </si>
  <si>
    <t>Kiểm tra chức năng chi tiết công ty</t>
  </si>
  <si>
    <t>Danh sách ngành nghề</t>
  </si>
  <si>
    <t>Kiểm tra chức năng danh sách ngành nghề</t>
  </si>
  <si>
    <t>Chi tiết ngành nghề</t>
  </si>
  <si>
    <t>Kiểm tra chức năng chi tiết ngành nghề</t>
  </si>
  <si>
    <t>Danh sách kỹ năng</t>
  </si>
  <si>
    <t>Kiểm tra chức năng danh sách kỹ năng</t>
  </si>
  <si>
    <t>Chi tiết kỹ năng</t>
  </si>
  <si>
    <t>Kiểm tra chức năng chi tiết kỹ năng</t>
  </si>
  <si>
    <t>Dashboard ứng viên</t>
  </si>
  <si>
    <t>Kiểm tra chức năng dashboard ứng viên</t>
  </si>
  <si>
    <t>Profile ứng viên</t>
  </si>
  <si>
    <t>Kiểm tra chức năng profile ứng viên</t>
  </si>
  <si>
    <t>Quản lý CV</t>
  </si>
  <si>
    <t>Kiểm tra chức năng quản lý CV</t>
  </si>
  <si>
    <t>Quản lý kỹ năng cá nhân</t>
  </si>
  <si>
    <t>Kiểm tra chức năng quản lý kỹ năng cá nhân</t>
  </si>
  <si>
    <t>Việc làm đã lưu</t>
  </si>
  <si>
    <t>Kiểm tra chức năng việc làm đã lưu</t>
  </si>
  <si>
    <t>Công ty theo dõi</t>
  </si>
  <si>
    <t>Kiểm tra chức năng công ty theo dõi</t>
  </si>
  <si>
    <t>Ứng tuyển</t>
  </si>
  <si>
    <t>Kiểm tra chức năng ứng tuyển</t>
  </si>
  <si>
    <t>Theo dõi đơn ứng tuyển</t>
  </si>
  <si>
    <t>Kiểm tra chức năng theo dõi đơn ứng tuyển</t>
  </si>
  <si>
    <t>Matched Jobs</t>
  </si>
  <si>
    <t>Kiểm tra chức năng matched Jobs</t>
  </si>
  <si>
    <t>Career Report</t>
  </si>
  <si>
    <t>Kiểm tra chức năng career Report</t>
  </si>
  <si>
    <t>Tạo CV</t>
  </si>
  <si>
    <t>Kiểm tra chức năng tạo CV</t>
  </si>
  <si>
    <t>Ví AI</t>
  </si>
  <si>
    <t>Kiểm tra chức năng ví AI</t>
  </si>
  <si>
    <t>Gói Pro cho AI Center</t>
  </si>
  <si>
    <t>Kiểm tra chức năng gói pro cho AI Center</t>
  </si>
  <si>
    <t>Lịch sử thanh toán</t>
  </si>
  <si>
    <t>Kiểm tra chức năng lịch sử thanh toán</t>
  </si>
  <si>
    <t>Chi tiết thanh toán</t>
  </si>
  <si>
    <t>Kiểm tra chức năng chi tiết thanh toán</t>
  </si>
  <si>
    <t>Trang trung tâm AI</t>
  </si>
  <si>
    <t>Kiểm tra chức năng trang trung tâm AI</t>
  </si>
  <si>
    <t>Chat tư vấn nghề nghiệp</t>
  </si>
  <si>
    <t>Kiểm tra chức năng chat tư vấn nghề nghiệp</t>
  </si>
  <si>
    <t>Phỏng vấn thử</t>
  </si>
  <si>
    <t>Kiểm tra chức năng phỏng vấn thử</t>
  </si>
  <si>
    <t>Bugs</t>
  </si>
  <si>
    <t>Status</t>
  </si>
  <si>
    <t>Severity</t>
  </si>
  <si>
    <t>Total</t>
  </si>
  <si>
    <t>Open</t>
  </si>
  <si>
    <t>Closed</t>
  </si>
  <si>
    <t>Responding</t>
  </si>
  <si>
    <t>Test Report Sprint 2</t>
  </si>
  <si>
    <r>
      <rPr>
        <sz val="13"/>
        <color rgb="FF000000"/>
        <rFont val="Times New Roman"/>
        <charset val="134"/>
      </rPr>
      <t xml:space="preserve">Dashboard </t>
    </r>
    <r>
      <rPr>
        <sz val="13"/>
        <color theme="1"/>
        <rFont val="Times New Roman"/>
        <charset val="134"/>
      </rPr>
      <t>nhà tuyển dụng</t>
    </r>
  </si>
  <si>
    <t>Kiểm tra chức năng dashboard nhà tuyển dụng</t>
  </si>
  <si>
    <r>
      <rPr>
        <sz val="13"/>
        <color rgb="FF000000"/>
        <rFont val="Times New Roman"/>
        <charset val="134"/>
      </rPr>
      <t xml:space="preserve">Profile </t>
    </r>
    <r>
      <rPr>
        <sz val="13"/>
        <color theme="1"/>
        <rFont val="Times New Roman"/>
        <charset val="134"/>
      </rPr>
      <t>nhà tuyển dụng</t>
    </r>
  </si>
  <si>
    <t>Kiểm tra chức năng profile nhà tuyển dụng</t>
  </si>
  <si>
    <r>
      <rPr>
        <sz val="13"/>
        <color rgb="FF000000"/>
        <rFont val="Times New Roman"/>
        <charset val="134"/>
      </rPr>
      <t>Quản lý tin tuyển dụng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</si>
  <si>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quản lý tin tuyển dụng phía nhà tuyển dụng</t>
  </si>
  <si>
    <r>
      <rPr>
        <sz val="13"/>
        <color rgb="FF000000"/>
        <rFont val="Times New Roman"/>
        <charset val="134"/>
      </rPr>
      <t>Chi tiết tin tuyển dụng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</si>
  <si>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chi tiết tin tuyển dụng phía nhà tuyển dụng</t>
  </si>
  <si>
    <r>
      <rPr>
        <sz val="13"/>
        <color rgb="FF000000"/>
        <rFont val="Times New Roman"/>
        <charset val="134"/>
      </rPr>
      <t>Quản lý ứng viên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</si>
  <si>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quản lý ứng viên</t>
  </si>
  <si>
    <t>Ví và Billing (Nhà tuyển dụng)</t>
  </si>
  <si>
    <t>Kiểm tra chức năng ví và billing</t>
  </si>
  <si>
    <t>Quản lý nhân sự HR (Nhà tuyển dụng)</t>
  </si>
  <si>
    <t>Kiểm tra chức năng quản lý nhân sự HR</t>
  </si>
  <si>
    <t>Nhật ký công ty (Nhà tuyển dụng)</t>
  </si>
  <si>
    <t>Kiểm tra chức năng nhật ký công ty</t>
  </si>
  <si>
    <r>
      <rPr>
        <sz val="13"/>
        <color rgb="FF000000"/>
        <rFont val="Times New Roman"/>
        <charset val="134"/>
      </rPr>
      <t>Quản lý phỏng vấn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</si>
  <si>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quản lý phỏng vấn</t>
  </si>
  <si>
    <r>
      <rPr>
        <sz val="13"/>
        <color rgb="FF000000"/>
        <rFont val="Times New Roman"/>
        <charset val="134"/>
      </rPr>
      <t>Thông tin công ty (N</t>
    </r>
    <r>
      <rPr>
        <sz val="13"/>
        <color theme="1"/>
        <rFont val="Times New Roman"/>
        <charset val="134"/>
      </rPr>
      <t>hà tuyển dụng</t>
    </r>
    <r>
      <rPr>
        <sz val="13"/>
        <color rgb="FF000000"/>
        <rFont val="Times New Roman"/>
        <charset val="134"/>
      </rPr>
      <t>)</t>
    </r>
  </si>
  <si>
    <t>Kiểm tra chức năng thông tin công ty</t>
  </si>
  <si>
    <t>Dashboard admin</t>
  </si>
  <si>
    <t>Kiểm tra chức năng dashboard admin</t>
  </si>
  <si>
    <t>Profile admin</t>
  </si>
  <si>
    <t>Kiểm tra chức năng profile admin</t>
  </si>
  <si>
    <t>Quản lý admin</t>
  </si>
  <si>
    <t>Kiểm tra chức năng quản lý admin</t>
  </si>
  <si>
    <t>Quản lý người dùng</t>
  </si>
  <si>
    <t>Kiểm tra chức năng quản lý người dùng</t>
  </si>
  <si>
    <t>Quản lý công ty</t>
  </si>
  <si>
    <t>Kiểm tra chức năng quản lý công ty</t>
  </si>
  <si>
    <t>Quản lý hồ sơ</t>
  </si>
  <si>
    <t>Kiểm tra chức năng quản lý hồ sơ</t>
  </si>
  <si>
    <t>Quản lý kỹ năng người dùng</t>
  </si>
  <si>
    <t>Kiểm tra chức năng quản lý kỹ năng người dùng</t>
  </si>
  <si>
    <t>Quản lý kết quả matching</t>
  </si>
  <si>
    <t>Kiểm tra chức năng quản lý kết quả matching</t>
  </si>
  <si>
    <t>Quản lý tư vấn nghề nghiệp</t>
  </si>
  <si>
    <t>Kiểm tra chức năng quản lý tư vấn nghề nghiệp</t>
  </si>
  <si>
    <t>Quản lý sử dụng AI</t>
  </si>
  <si>
    <t>Kiểm tra chức năng quản lý sử dụng AI</t>
  </si>
  <si>
    <t>Quản lý thanh toán</t>
  </si>
  <si>
    <t>Kiểm tra chức năng quản lý thanh toán</t>
  </si>
  <si>
    <t>Quản lý ứng tuyển</t>
  </si>
  <si>
    <t>Kiểm tra chức năng quản lý ứng tuyển</t>
  </si>
  <si>
    <t>Quản lý kỹ năng</t>
  </si>
  <si>
    <t>Kiểm tra chức năng quản lý kỹ năng</t>
  </si>
  <si>
    <t>Quản lý ngành nghề</t>
  </si>
  <si>
    <t>Kiểm tra chức năng quản lý ngành nghề</t>
  </si>
  <si>
    <t>Quản lý tin tuyển dụng</t>
  </si>
  <si>
    <t>Kiểm tra chức năng quản lý tin tuyển dụng</t>
  </si>
  <si>
    <t>Quản lý template cv</t>
  </si>
  <si>
    <t>Kiểm tra chức năng quản lý template cv</t>
  </si>
  <si>
    <t>Nhật ký hệ thống</t>
  </si>
  <si>
    <t>Kiểm tra chức năng nhật ký hệ thống</t>
  </si>
  <si>
    <t>Báo cáo và phân tích</t>
  </si>
  <si>
    <t>Kiểm tra chức năng báo cáo và phân tích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</si>
</sst>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8">
    <font>
      <sz val="11"/>
      <color theme="1"/>
      <name val="Calibri"/>
      <charset val="134"/>
      <scheme val="minor"/>
    </font>
    <font>
      <sz val="13"/>
      <color theme="1"/>
      <name val="Times New Roman"/>
      <charset val="134"/>
    </font>
    <font>
      <b/>
      <sz val="20"/>
      <color theme="1"/>
      <name val="Times New Roman"/>
      <charset val="134"/>
    </font>
    <font>
      <b/>
      <sz val="13"/>
      <color theme="1"/>
      <name val="Times New Roman"/>
      <charset val="134"/>
    </font>
    <font>
      <sz val="13"/>
      <color rgb="FF006100"/>
      <name val="Times New Roman"/>
      <charset val="134"/>
    </font>
    <font>
      <sz val="13"/>
      <color rgb="FF9C0006"/>
      <name val="Times New Roman"/>
      <charset val="134"/>
    </font>
    <font>
      <sz val="13"/>
      <color rgb="FF000000"/>
      <name val="Times New Roman"/>
      <charset val="134"/>
    </font>
    <font>
      <sz val="13"/>
      <color rgb="FF222222"/>
      <name val="Times New Roman"/>
      <charset val="134"/>
    </font>
    <font>
      <sz val="13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BDD6E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6" borderId="1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5" fillId="0" borderId="16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18" applyNumberFormat="0" applyAlignment="0" applyProtection="0">
      <alignment vertical="center"/>
    </xf>
    <xf numFmtId="0" fontId="18" fillId="8" borderId="19" applyNumberFormat="0" applyAlignment="0" applyProtection="0">
      <alignment vertical="center"/>
    </xf>
    <xf numFmtId="0" fontId="19" fillId="8" borderId="18" applyNumberFormat="0" applyAlignment="0" applyProtection="0">
      <alignment vertical="center"/>
    </xf>
    <xf numFmtId="0" fontId="20" fillId="9" borderId="20" applyNumberFormat="0" applyAlignment="0" applyProtection="0">
      <alignment vertical="center"/>
    </xf>
    <xf numFmtId="0" fontId="21" fillId="0" borderId="21" applyNumberFormat="0" applyFill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60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4" xfId="0" applyFont="1" applyFill="1" applyBorder="1" applyAlignment="1">
      <alignment wrapText="1"/>
    </xf>
    <xf numFmtId="0" fontId="1" fillId="0" borderId="5" xfId="0" applyFont="1" applyFill="1" applyBorder="1" applyAlignment="1">
      <alignment wrapText="1"/>
    </xf>
    <xf numFmtId="0" fontId="3" fillId="0" borderId="6" xfId="0" applyFont="1" applyFill="1" applyBorder="1" applyAlignment="1">
      <alignment wrapText="1"/>
    </xf>
    <xf numFmtId="0" fontId="3" fillId="0" borderId="7" xfId="0" applyFont="1" applyFill="1" applyBorder="1" applyAlignment="1">
      <alignment horizontal="left" wrapText="1"/>
    </xf>
    <xf numFmtId="0" fontId="3" fillId="0" borderId="8" xfId="0" applyFont="1" applyFill="1" applyBorder="1" applyAlignment="1">
      <alignment horizontal="left" wrapText="1"/>
    </xf>
    <xf numFmtId="0" fontId="1" fillId="0" borderId="3" xfId="0" applyFont="1" applyFill="1" applyBorder="1" applyAlignment="1">
      <alignment wrapText="1"/>
    </xf>
    <xf numFmtId="0" fontId="3" fillId="0" borderId="6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wrapText="1"/>
    </xf>
    <xf numFmtId="0" fontId="4" fillId="3" borderId="6" xfId="0" applyFont="1" applyFill="1" applyBorder="1" applyAlignment="1">
      <alignment horizontal="right" wrapText="1"/>
    </xf>
    <xf numFmtId="0" fontId="5" fillId="4" borderId="6" xfId="0" applyFont="1" applyFill="1" applyBorder="1" applyAlignment="1">
      <alignment wrapText="1"/>
    </xf>
    <xf numFmtId="0" fontId="5" fillId="4" borderId="6" xfId="0" applyFont="1" applyFill="1" applyBorder="1" applyAlignment="1">
      <alignment horizontal="right" wrapText="1"/>
    </xf>
    <xf numFmtId="0" fontId="3" fillId="0" borderId="6" xfId="0" applyFont="1" applyFill="1" applyBorder="1" applyAlignment="1">
      <alignment horizontal="right" wrapText="1"/>
    </xf>
    <xf numFmtId="0" fontId="1" fillId="0" borderId="6" xfId="0" applyFont="1" applyFill="1" applyBorder="1" applyAlignment="1">
      <alignment wrapText="1"/>
    </xf>
    <xf numFmtId="0" fontId="1" fillId="0" borderId="6" xfId="0" applyFont="1" applyFill="1" applyBorder="1" applyAlignment="1">
      <alignment horizontal="right" wrapText="1"/>
    </xf>
    <xf numFmtId="0" fontId="3" fillId="0" borderId="6" xfId="0" applyFont="1" applyFill="1" applyBorder="1" applyAlignment="1">
      <alignment horizontal="center" wrapText="1"/>
    </xf>
    <xf numFmtId="0" fontId="1" fillId="0" borderId="9" xfId="0" applyFont="1" applyFill="1" applyBorder="1" applyAlignment="1">
      <alignment wrapText="1"/>
    </xf>
    <xf numFmtId="0" fontId="3" fillId="2" borderId="6" xfId="0" applyFont="1" applyFill="1" applyBorder="1" applyAlignment="1">
      <alignment horizontal="center" wrapText="1"/>
    </xf>
    <xf numFmtId="0" fontId="6" fillId="0" borderId="6" xfId="0" applyFont="1" applyFill="1" applyBorder="1" applyAlignment="1">
      <alignment horizontal="left" vertical="center"/>
    </xf>
    <xf numFmtId="0" fontId="6" fillId="0" borderId="6" xfId="0" applyFont="1" applyFill="1" applyBorder="1" applyAlignment="1">
      <alignment horizontal="left" vertical="center" wrapText="1"/>
    </xf>
    <xf numFmtId="9" fontId="1" fillId="0" borderId="6" xfId="0" applyNumberFormat="1" applyFont="1" applyFill="1" applyBorder="1" applyAlignment="1">
      <alignment horizontal="right" wrapText="1"/>
    </xf>
    <xf numFmtId="0" fontId="1" fillId="0" borderId="6" xfId="0" applyFont="1" applyFill="1" applyBorder="1" applyAlignment="1">
      <alignment vertical="center"/>
    </xf>
    <xf numFmtId="0" fontId="1" fillId="0" borderId="0" xfId="0" applyFont="1" applyFill="1" applyBorder="1" applyAlignment="1">
      <alignment wrapText="1"/>
    </xf>
    <xf numFmtId="0" fontId="1" fillId="0" borderId="10" xfId="0" applyFont="1" applyFill="1" applyBorder="1" applyAlignment="1">
      <alignment wrapText="1"/>
    </xf>
    <xf numFmtId="0" fontId="1" fillId="0" borderId="11" xfId="0" applyFont="1" applyFill="1" applyBorder="1" applyAlignment="1">
      <alignment wrapText="1"/>
    </xf>
    <xf numFmtId="0" fontId="7" fillId="5" borderId="6" xfId="0" applyFont="1" applyFill="1" applyBorder="1" applyAlignment="1">
      <alignment vertical="center" wrapText="1"/>
    </xf>
    <xf numFmtId="0" fontId="3" fillId="0" borderId="6" xfId="0" applyFont="1" applyFill="1" applyBorder="1" applyAlignment="1">
      <alignment vertical="center" wrapText="1"/>
    </xf>
    <xf numFmtId="0" fontId="8" fillId="0" borderId="6" xfId="0" applyFont="1" applyFill="1" applyBorder="1" applyAlignment="1">
      <alignment horizontal="right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2" borderId="6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center" wrapText="1"/>
    </xf>
    <xf numFmtId="0" fontId="1" fillId="0" borderId="11" xfId="0" applyFont="1" applyBorder="1" applyAlignment="1">
      <alignment wrapText="1"/>
    </xf>
    <xf numFmtId="0" fontId="1" fillId="0" borderId="4" xfId="0" applyFont="1" applyBorder="1" applyAlignment="1">
      <alignment wrapText="1"/>
    </xf>
    <xf numFmtId="0" fontId="1" fillId="0" borderId="5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3" fillId="0" borderId="7" xfId="0" applyFont="1" applyBorder="1" applyAlignment="1">
      <alignment horizontal="left" wrapText="1"/>
    </xf>
    <xf numFmtId="0" fontId="3" fillId="0" borderId="8" xfId="0" applyFont="1" applyBorder="1" applyAlignment="1">
      <alignment horizontal="left" wrapText="1"/>
    </xf>
    <xf numFmtId="0" fontId="1" fillId="0" borderId="3" xfId="0" applyFont="1" applyBorder="1" applyAlignment="1">
      <alignment wrapText="1"/>
    </xf>
    <xf numFmtId="0" fontId="3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right" wrapText="1"/>
    </xf>
    <xf numFmtId="0" fontId="1" fillId="0" borderId="6" xfId="0" applyFont="1" applyBorder="1" applyAlignment="1">
      <alignment wrapText="1"/>
    </xf>
    <xf numFmtId="0" fontId="1" fillId="0" borderId="6" xfId="0" applyFont="1" applyBorder="1" applyAlignment="1">
      <alignment horizontal="right" wrapText="1"/>
    </xf>
    <xf numFmtId="0" fontId="3" fillId="0" borderId="6" xfId="0" applyFont="1" applyBorder="1" applyAlignment="1">
      <alignment horizontal="center" wrapText="1"/>
    </xf>
    <xf numFmtId="0" fontId="1" fillId="0" borderId="9" xfId="0" applyFont="1" applyBorder="1" applyAlignment="1">
      <alignment wrapText="1"/>
    </xf>
    <xf numFmtId="9" fontId="1" fillId="0" borderId="6" xfId="0" applyNumberFormat="1" applyFont="1" applyBorder="1" applyAlignment="1">
      <alignment horizontal="right" wrapText="1"/>
    </xf>
    <xf numFmtId="0" fontId="1" fillId="0" borderId="0" xfId="0" applyFont="1" applyBorder="1" applyAlignment="1">
      <alignment wrapText="1"/>
    </xf>
    <xf numFmtId="0" fontId="1" fillId="0" borderId="10" xfId="0" applyFont="1" applyBorder="1" applyAlignment="1">
      <alignment wrapText="1"/>
    </xf>
    <xf numFmtId="0" fontId="3" fillId="0" borderId="12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 wrapText="1"/>
    </xf>
    <xf numFmtId="0" fontId="8" fillId="0" borderId="6" xfId="0" applyFont="1" applyBorder="1" applyAlignment="1">
      <alignment horizontal="right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Z1025"/>
  <sheetViews>
    <sheetView tabSelected="1" zoomScale="80" zoomScaleNormal="80" workbookViewId="0">
      <selection activeCell="I12" sqref="I12"/>
    </sheetView>
  </sheetViews>
  <sheetFormatPr defaultColWidth="8.88888888888889" defaultRowHeight="16.8"/>
  <cols>
    <col min="1" max="1" width="30.1111111111111" style="35" customWidth="1"/>
    <col min="2" max="2" width="70.8888888888889" style="35" customWidth="1"/>
    <col min="3" max="3" width="26.6666666666667" style="35" customWidth="1"/>
    <col min="4" max="4" width="18.1111111111111" style="35" customWidth="1"/>
    <col min="5" max="5" width="17.5555555555556" style="35" customWidth="1"/>
    <col min="6" max="7" width="11.6666666666667" style="35" customWidth="1"/>
    <col min="8" max="16384" width="8.88888888888889" style="35"/>
  </cols>
  <sheetData>
    <row r="4" s="34" customFormat="1" ht="25.35" spans="1:26">
      <c r="A4" s="36" t="s">
        <v>0</v>
      </c>
      <c r="B4" s="36"/>
      <c r="C4" s="36"/>
      <c r="D4" s="36"/>
      <c r="E4" s="36"/>
      <c r="F4" s="36"/>
      <c r="G4" s="36"/>
      <c r="H4" s="37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 ht="17.55" spans="1:26">
      <c r="A5" s="38"/>
      <c r="B5" s="38"/>
      <c r="C5" s="38"/>
      <c r="D5" s="38"/>
      <c r="E5" s="38"/>
      <c r="F5" s="38"/>
      <c r="G5" s="38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ht="17.55" spans="1:26">
      <c r="A6" s="40"/>
      <c r="B6" s="40"/>
      <c r="C6" s="40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ht="16.95" customHeight="1" spans="1:26">
      <c r="A7" s="41" t="s">
        <v>1</v>
      </c>
      <c r="B7" s="42" t="s">
        <v>2</v>
      </c>
      <c r="C7" s="43"/>
      <c r="D7" s="44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</row>
    <row r="8" ht="16.95" customHeight="1" spans="1:26">
      <c r="A8" s="45" t="s">
        <v>3</v>
      </c>
      <c r="B8" s="14" t="s">
        <v>4</v>
      </c>
      <c r="C8" s="15">
        <v>1291</v>
      </c>
      <c r="D8" s="44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ht="16.95" customHeight="1" spans="1:26">
      <c r="A9" s="45"/>
      <c r="B9" s="16" t="s">
        <v>5</v>
      </c>
      <c r="C9" s="17">
        <v>6</v>
      </c>
      <c r="D9" s="44"/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</row>
    <row r="10" ht="16.95" customHeight="1" spans="1:26">
      <c r="A10" s="45"/>
      <c r="B10" s="41" t="s">
        <v>6</v>
      </c>
      <c r="C10" s="46">
        <f>SUM(C8,C9)</f>
        <v>1297</v>
      </c>
      <c r="D10" s="44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</row>
    <row r="11" ht="16.95" customHeight="1" spans="1:26">
      <c r="A11" s="45" t="s">
        <v>7</v>
      </c>
      <c r="B11" s="47" t="s">
        <v>8</v>
      </c>
      <c r="C11" s="48">
        <v>0</v>
      </c>
      <c r="D11" s="44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 ht="16.95" customHeight="1" spans="1:26">
      <c r="A12" s="45"/>
      <c r="B12" s="47" t="s">
        <v>9</v>
      </c>
      <c r="C12" s="48">
        <v>0</v>
      </c>
      <c r="D12" s="44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</row>
    <row r="13" ht="16.95" customHeight="1" spans="1:26">
      <c r="A13" s="45"/>
      <c r="B13" s="47" t="s">
        <v>10</v>
      </c>
      <c r="C13" s="48">
        <v>0</v>
      </c>
      <c r="D13" s="44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</row>
    <row r="14" ht="16.95" customHeight="1" spans="1:26">
      <c r="A14" s="45"/>
      <c r="B14" s="41" t="s">
        <v>11</v>
      </c>
      <c r="C14" s="46">
        <v>1291</v>
      </c>
      <c r="D14" s="44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</row>
    <row r="15" ht="16.95" customHeight="1" spans="1:26">
      <c r="A15" s="49" t="s">
        <v>12</v>
      </c>
      <c r="B15" s="49"/>
      <c r="C15" s="46">
        <f>SUM(C10,C14)</f>
        <v>2588</v>
      </c>
      <c r="D15" s="44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 ht="17.55" spans="1:26">
      <c r="A16" s="50"/>
      <c r="B16" s="50"/>
      <c r="C16" s="50"/>
      <c r="D16" s="40"/>
      <c r="E16" s="40"/>
      <c r="F16" s="40"/>
      <c r="G16" s="40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</row>
    <row r="17" ht="16.95" customHeight="1" spans="1:26">
      <c r="A17" s="23" t="s">
        <v>13</v>
      </c>
      <c r="B17" s="23" t="s">
        <v>14</v>
      </c>
      <c r="C17" s="23" t="s">
        <v>15</v>
      </c>
      <c r="D17" s="23" t="s">
        <v>16</v>
      </c>
      <c r="E17" s="23" t="s">
        <v>17</v>
      </c>
      <c r="F17" s="23" t="s">
        <v>18</v>
      </c>
      <c r="G17" s="23" t="s">
        <v>19</v>
      </c>
      <c r="H17" s="44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</row>
    <row r="18" ht="16.95" customHeight="1" spans="1:26">
      <c r="A18" s="27" t="s">
        <v>20</v>
      </c>
      <c r="B18" s="27" t="s">
        <v>21</v>
      </c>
      <c r="C18" s="51">
        <v>1</v>
      </c>
      <c r="D18" s="51">
        <f>(27/29)*100%</f>
        <v>0.931034482758621</v>
      </c>
      <c r="E18" s="48">
        <v>0</v>
      </c>
      <c r="F18" s="19">
        <v>2</v>
      </c>
      <c r="G18" s="47"/>
      <c r="H18" s="44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</row>
    <row r="19" ht="16.95" customHeight="1" spans="1:26">
      <c r="A19" s="27" t="s">
        <v>22</v>
      </c>
      <c r="B19" s="27" t="s">
        <v>23</v>
      </c>
      <c r="C19" s="51">
        <v>1</v>
      </c>
      <c r="D19" s="51">
        <v>1</v>
      </c>
      <c r="E19" s="48">
        <v>0</v>
      </c>
      <c r="F19" s="19">
        <v>2</v>
      </c>
      <c r="G19" s="47"/>
      <c r="H19" s="44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 ht="16.95" customHeight="1" spans="1:26">
      <c r="A20" s="27" t="s">
        <v>24</v>
      </c>
      <c r="B20" s="27" t="s">
        <v>25</v>
      </c>
      <c r="C20" s="51">
        <v>1</v>
      </c>
      <c r="D20" s="51">
        <v>1</v>
      </c>
      <c r="E20" s="48">
        <v>0</v>
      </c>
      <c r="F20" s="19">
        <v>2</v>
      </c>
      <c r="G20" s="47"/>
      <c r="H20" s="44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</row>
    <row r="21" ht="16.95" customHeight="1" spans="1:26">
      <c r="A21" s="27" t="s">
        <v>26</v>
      </c>
      <c r="B21" s="27" t="s">
        <v>27</v>
      </c>
      <c r="C21" s="51">
        <v>1</v>
      </c>
      <c r="D21" s="51">
        <v>1</v>
      </c>
      <c r="E21" s="48">
        <v>0</v>
      </c>
      <c r="F21" s="19">
        <v>2</v>
      </c>
      <c r="G21" s="47"/>
      <c r="H21" s="44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</row>
    <row r="22" ht="16.95" customHeight="1" spans="1:26">
      <c r="A22" s="27" t="s">
        <v>28</v>
      </c>
      <c r="B22" s="27" t="s">
        <v>29</v>
      </c>
      <c r="C22" s="51">
        <v>1</v>
      </c>
      <c r="D22" s="51">
        <v>1</v>
      </c>
      <c r="E22" s="48">
        <v>0</v>
      </c>
      <c r="F22" s="19">
        <v>2</v>
      </c>
      <c r="G22" s="47"/>
      <c r="H22" s="44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</row>
    <row r="23" ht="16.95" customHeight="1" spans="1:26">
      <c r="A23" s="27" t="s">
        <v>30</v>
      </c>
      <c r="B23" s="27" t="s">
        <v>31</v>
      </c>
      <c r="C23" s="51">
        <v>1</v>
      </c>
      <c r="D23" s="51">
        <v>1</v>
      </c>
      <c r="E23" s="48">
        <v>0</v>
      </c>
      <c r="F23" s="19">
        <v>2</v>
      </c>
      <c r="G23" s="47"/>
      <c r="H23" s="44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</row>
    <row r="24" ht="16.95" customHeight="1" spans="1:26">
      <c r="A24" s="27" t="s">
        <v>32</v>
      </c>
      <c r="B24" s="27" t="s">
        <v>33</v>
      </c>
      <c r="C24" s="51">
        <v>1</v>
      </c>
      <c r="D24" s="51">
        <v>1</v>
      </c>
      <c r="E24" s="48">
        <v>0</v>
      </c>
      <c r="F24" s="19">
        <v>2</v>
      </c>
      <c r="G24" s="47"/>
      <c r="H24" s="44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</row>
    <row r="25" ht="16.95" customHeight="1" spans="1:26">
      <c r="A25" s="27" t="s">
        <v>34</v>
      </c>
      <c r="B25" s="27" t="s">
        <v>35</v>
      </c>
      <c r="C25" s="51">
        <v>1</v>
      </c>
      <c r="D25" s="51">
        <v>1</v>
      </c>
      <c r="E25" s="48">
        <v>0</v>
      </c>
      <c r="F25" s="19">
        <v>2</v>
      </c>
      <c r="G25" s="47"/>
      <c r="H25" s="44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</row>
    <row r="26" ht="16.95" customHeight="1" spans="1:26">
      <c r="A26" s="27" t="s">
        <v>36</v>
      </c>
      <c r="B26" s="27" t="s">
        <v>37</v>
      </c>
      <c r="C26" s="51">
        <v>1</v>
      </c>
      <c r="D26" s="51">
        <v>1</v>
      </c>
      <c r="E26" s="48">
        <v>0</v>
      </c>
      <c r="F26" s="19">
        <v>2</v>
      </c>
      <c r="G26" s="47"/>
      <c r="H26" s="44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ht="16.95" customHeight="1" spans="1:26">
      <c r="A27" s="27" t="s">
        <v>38</v>
      </c>
      <c r="B27" s="27" t="s">
        <v>39</v>
      </c>
      <c r="C27" s="51">
        <v>1</v>
      </c>
      <c r="D27" s="51">
        <v>1</v>
      </c>
      <c r="E27" s="48">
        <v>0</v>
      </c>
      <c r="F27" s="19">
        <v>2</v>
      </c>
      <c r="G27" s="47"/>
      <c r="H27" s="44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ht="16.95" customHeight="1" spans="1:26">
      <c r="A28" s="27" t="s">
        <v>40</v>
      </c>
      <c r="B28" s="27" t="s">
        <v>41</v>
      </c>
      <c r="C28" s="51">
        <v>1</v>
      </c>
      <c r="D28" s="51">
        <v>1</v>
      </c>
      <c r="E28" s="48">
        <v>0</v>
      </c>
      <c r="F28" s="19">
        <v>2</v>
      </c>
      <c r="G28" s="47"/>
      <c r="H28" s="44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</row>
    <row r="29" ht="16.95" customHeight="1" spans="1:26">
      <c r="A29" s="27" t="s">
        <v>42</v>
      </c>
      <c r="B29" s="27" t="s">
        <v>43</v>
      </c>
      <c r="C29" s="51">
        <v>1</v>
      </c>
      <c r="D29" s="51">
        <v>1</v>
      </c>
      <c r="E29" s="48">
        <v>0</v>
      </c>
      <c r="F29" s="19">
        <v>2</v>
      </c>
      <c r="G29" s="47"/>
      <c r="H29" s="44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</row>
    <row r="30" ht="16.95" customHeight="1" spans="1:26">
      <c r="A30" s="27" t="s">
        <v>44</v>
      </c>
      <c r="B30" s="27" t="s">
        <v>45</v>
      </c>
      <c r="C30" s="51">
        <v>1</v>
      </c>
      <c r="D30" s="51">
        <v>1</v>
      </c>
      <c r="E30" s="48">
        <v>0</v>
      </c>
      <c r="F30" s="19">
        <v>2</v>
      </c>
      <c r="G30" s="47"/>
      <c r="H30" s="44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</row>
    <row r="31" ht="16.95" customHeight="1" spans="1:26">
      <c r="A31" s="27" t="s">
        <v>46</v>
      </c>
      <c r="B31" s="27" t="s">
        <v>47</v>
      </c>
      <c r="C31" s="51">
        <v>1</v>
      </c>
      <c r="D31" s="51">
        <v>1</v>
      </c>
      <c r="E31" s="48">
        <v>0</v>
      </c>
      <c r="F31" s="19">
        <v>2</v>
      </c>
      <c r="G31" s="47"/>
      <c r="H31" s="44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</row>
    <row r="32" ht="16.95" customHeight="1" spans="1:26">
      <c r="A32" s="27" t="s">
        <v>48</v>
      </c>
      <c r="B32" s="27" t="s">
        <v>49</v>
      </c>
      <c r="C32" s="51">
        <v>1</v>
      </c>
      <c r="D32" s="51">
        <v>1</v>
      </c>
      <c r="E32" s="48">
        <v>0</v>
      </c>
      <c r="F32" s="19">
        <v>2</v>
      </c>
      <c r="G32" s="47"/>
      <c r="H32" s="44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</row>
    <row r="33" ht="16.95" customHeight="1" spans="1:26">
      <c r="A33" s="27" t="s">
        <v>50</v>
      </c>
      <c r="B33" s="27" t="s">
        <v>51</v>
      </c>
      <c r="C33" s="51">
        <v>1</v>
      </c>
      <c r="D33" s="51">
        <v>1</v>
      </c>
      <c r="E33" s="48">
        <v>0</v>
      </c>
      <c r="F33" s="19">
        <v>2</v>
      </c>
      <c r="G33" s="47"/>
      <c r="H33" s="44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</row>
    <row r="34" ht="16.95" customHeight="1" spans="1:26">
      <c r="A34" s="27" t="s">
        <v>52</v>
      </c>
      <c r="B34" s="27" t="s">
        <v>53</v>
      </c>
      <c r="C34" s="51">
        <v>1</v>
      </c>
      <c r="D34" s="51">
        <v>1</v>
      </c>
      <c r="E34" s="48">
        <v>0</v>
      </c>
      <c r="F34" s="19">
        <v>3</v>
      </c>
      <c r="G34" s="47"/>
      <c r="H34" s="44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</row>
    <row r="35" ht="16.95" customHeight="1" spans="1:26">
      <c r="A35" s="27" t="s">
        <v>54</v>
      </c>
      <c r="B35" s="27" t="s">
        <v>55</v>
      </c>
      <c r="C35" s="51">
        <v>1</v>
      </c>
      <c r="D35" s="51">
        <v>1</v>
      </c>
      <c r="E35" s="48">
        <v>0</v>
      </c>
      <c r="F35" s="19">
        <v>3</v>
      </c>
      <c r="G35" s="47"/>
      <c r="H35" s="44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</row>
    <row r="36" ht="16.95" customHeight="1" spans="1:26">
      <c r="A36" s="27" t="s">
        <v>56</v>
      </c>
      <c r="B36" s="27" t="s">
        <v>57</v>
      </c>
      <c r="C36" s="51">
        <v>1</v>
      </c>
      <c r="D36" s="51">
        <v>1</v>
      </c>
      <c r="E36" s="48">
        <v>0</v>
      </c>
      <c r="F36" s="19">
        <v>2</v>
      </c>
      <c r="G36" s="47"/>
      <c r="H36" s="44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</row>
    <row r="37" ht="16.95" customHeight="1" spans="1:26">
      <c r="A37" s="27" t="s">
        <v>58</v>
      </c>
      <c r="B37" s="27" t="s">
        <v>59</v>
      </c>
      <c r="C37" s="51">
        <v>1</v>
      </c>
      <c r="D37" s="51">
        <v>1</v>
      </c>
      <c r="E37" s="48">
        <v>0</v>
      </c>
      <c r="F37" s="19">
        <v>3</v>
      </c>
      <c r="G37" s="47"/>
      <c r="H37" s="44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</row>
    <row r="38" ht="16.95" customHeight="1" spans="1:26">
      <c r="A38" s="27" t="s">
        <v>60</v>
      </c>
      <c r="B38" s="27" t="s">
        <v>61</v>
      </c>
      <c r="C38" s="51">
        <v>1</v>
      </c>
      <c r="D38" s="51">
        <v>1</v>
      </c>
      <c r="E38" s="48">
        <v>0</v>
      </c>
      <c r="F38" s="19">
        <v>2</v>
      </c>
      <c r="G38" s="47"/>
      <c r="H38" s="44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</row>
    <row r="39" ht="16.95" customHeight="1" spans="1:26">
      <c r="A39" s="27" t="s">
        <v>62</v>
      </c>
      <c r="B39" s="27" t="s">
        <v>63</v>
      </c>
      <c r="C39" s="51">
        <v>1</v>
      </c>
      <c r="D39" s="51">
        <v>1</v>
      </c>
      <c r="E39" s="48">
        <v>0</v>
      </c>
      <c r="F39" s="19">
        <v>3</v>
      </c>
      <c r="G39" s="47"/>
      <c r="H39" s="44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</row>
    <row r="40" ht="16.95" customHeight="1" spans="1:26">
      <c r="A40" s="27" t="s">
        <v>64</v>
      </c>
      <c r="B40" s="27" t="s">
        <v>65</v>
      </c>
      <c r="C40" s="51">
        <v>1</v>
      </c>
      <c r="D40" s="51">
        <v>1</v>
      </c>
      <c r="E40" s="48">
        <v>0</v>
      </c>
      <c r="F40" s="19">
        <v>3</v>
      </c>
      <c r="G40" s="47"/>
      <c r="H40" s="44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</row>
    <row r="41" ht="16.95" customHeight="1" spans="1:26">
      <c r="A41" s="27" t="s">
        <v>66</v>
      </c>
      <c r="B41" s="27" t="s">
        <v>67</v>
      </c>
      <c r="C41" s="51">
        <v>1</v>
      </c>
      <c r="D41" s="51">
        <v>1</v>
      </c>
      <c r="E41" s="48">
        <v>0</v>
      </c>
      <c r="F41" s="19">
        <v>3</v>
      </c>
      <c r="G41" s="47"/>
      <c r="H41" s="44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</row>
    <row r="42" ht="16.95" customHeight="1" spans="1:26">
      <c r="A42" s="27" t="s">
        <v>68</v>
      </c>
      <c r="B42" s="27" t="s">
        <v>69</v>
      </c>
      <c r="C42" s="51">
        <v>1</v>
      </c>
      <c r="D42" s="51">
        <v>1</v>
      </c>
      <c r="E42" s="48">
        <v>0</v>
      </c>
      <c r="F42" s="19">
        <v>2</v>
      </c>
      <c r="G42" s="47"/>
      <c r="H42" s="44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</row>
    <row r="43" ht="16.95" customHeight="1" spans="1:26">
      <c r="A43" s="27" t="s">
        <v>70</v>
      </c>
      <c r="B43" s="27" t="s">
        <v>71</v>
      </c>
      <c r="C43" s="51">
        <v>1</v>
      </c>
      <c r="D43" s="51">
        <f>(55/57)*100%</f>
        <v>0.964912280701754</v>
      </c>
      <c r="E43" s="48">
        <v>0</v>
      </c>
      <c r="F43" s="19">
        <v>2</v>
      </c>
      <c r="G43" s="47"/>
      <c r="H43" s="44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</row>
    <row r="44" ht="16.95" customHeight="1" spans="1:26">
      <c r="A44" s="27" t="s">
        <v>72</v>
      </c>
      <c r="B44" s="27" t="s">
        <v>73</v>
      </c>
      <c r="C44" s="51">
        <v>1</v>
      </c>
      <c r="D44" s="51">
        <v>1</v>
      </c>
      <c r="E44" s="48">
        <v>0</v>
      </c>
      <c r="F44" s="19">
        <v>3</v>
      </c>
      <c r="G44" s="47"/>
      <c r="H44" s="44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</row>
    <row r="45" ht="16.95" customHeight="1" spans="1:26">
      <c r="A45" s="27" t="s">
        <v>74</v>
      </c>
      <c r="B45" s="27" t="s">
        <v>75</v>
      </c>
      <c r="C45" s="51">
        <v>1</v>
      </c>
      <c r="D45" s="51">
        <v>1</v>
      </c>
      <c r="E45" s="48">
        <v>0</v>
      </c>
      <c r="F45" s="19">
        <v>2</v>
      </c>
      <c r="G45" s="47"/>
      <c r="H45" s="44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</row>
    <row r="46" ht="16.95" customHeight="1" spans="1:26">
      <c r="A46" s="27" t="s">
        <v>76</v>
      </c>
      <c r="B46" s="27" t="s">
        <v>77</v>
      </c>
      <c r="C46" s="51">
        <v>1</v>
      </c>
      <c r="D46" s="51">
        <v>1</v>
      </c>
      <c r="E46" s="48">
        <v>0</v>
      </c>
      <c r="F46" s="19">
        <v>2</v>
      </c>
      <c r="G46" s="47"/>
      <c r="H46" s="44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</row>
    <row r="47" ht="16.95" customHeight="1" spans="1:26">
      <c r="A47" s="27" t="s">
        <v>78</v>
      </c>
      <c r="B47" s="27" t="s">
        <v>79</v>
      </c>
      <c r="C47" s="51">
        <v>1</v>
      </c>
      <c r="D47" s="51">
        <v>1</v>
      </c>
      <c r="E47" s="48">
        <v>0</v>
      </c>
      <c r="F47" s="19">
        <v>2</v>
      </c>
      <c r="G47" s="47"/>
      <c r="H47" s="44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</row>
    <row r="48" ht="16.95" customHeight="1" spans="1:26">
      <c r="A48" s="27" t="s">
        <v>80</v>
      </c>
      <c r="B48" s="27" t="s">
        <v>81</v>
      </c>
      <c r="C48" s="51">
        <v>1</v>
      </c>
      <c r="D48" s="51">
        <f>(35/36)*100%</f>
        <v>0.972222222222222</v>
      </c>
      <c r="E48" s="48">
        <v>0</v>
      </c>
      <c r="F48" s="19">
        <v>2</v>
      </c>
      <c r="G48" s="47"/>
      <c r="H48" s="44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</row>
    <row r="49" ht="16.95" customHeight="1" spans="1:26">
      <c r="A49" s="27" t="s">
        <v>82</v>
      </c>
      <c r="B49" s="27" t="s">
        <v>83</v>
      </c>
      <c r="C49" s="51">
        <v>1</v>
      </c>
      <c r="D49" s="51">
        <f>(36/37)*100%</f>
        <v>0.972972972972973</v>
      </c>
      <c r="E49" s="48">
        <v>0</v>
      </c>
      <c r="F49" s="19">
        <v>2</v>
      </c>
      <c r="G49" s="47"/>
      <c r="H49" s="44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</row>
    <row r="50" ht="16.95" customHeight="1" spans="1:26">
      <c r="A50" s="52"/>
      <c r="B50" s="52"/>
      <c r="C50" s="52"/>
      <c r="D50" s="52"/>
      <c r="E50" s="52"/>
      <c r="F50" s="53"/>
      <c r="G50" s="38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</row>
    <row r="54" ht="16.95" customHeight="1" spans="1:26">
      <c r="A54" s="23" t="s">
        <v>84</v>
      </c>
      <c r="B54" s="23" t="s">
        <v>14</v>
      </c>
      <c r="C54" s="23" t="s">
        <v>85</v>
      </c>
      <c r="D54" s="23" t="s">
        <v>86</v>
      </c>
      <c r="E54" s="23" t="s">
        <v>18</v>
      </c>
      <c r="F54" s="53"/>
      <c r="G54" s="38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</row>
    <row r="55" ht="16.95" customHeight="1" spans="1:26">
      <c r="A55" s="31"/>
      <c r="B55" s="47"/>
      <c r="C55" s="47"/>
      <c r="D55" s="47"/>
      <c r="E55" s="47"/>
      <c r="F55" s="53"/>
      <c r="G55" s="38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</row>
    <row r="56" ht="16.95" customHeight="1" spans="1:26">
      <c r="A56" s="54" t="s">
        <v>87</v>
      </c>
      <c r="B56" s="55" t="s">
        <v>88</v>
      </c>
      <c r="C56" s="56">
        <v>0</v>
      </c>
      <c r="D56" s="47"/>
      <c r="E56" s="47"/>
      <c r="F56" s="53"/>
      <c r="G56" s="38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</row>
    <row r="57" ht="16.95" customHeight="1" spans="1:26">
      <c r="A57" s="57"/>
      <c r="B57" s="55" t="s">
        <v>89</v>
      </c>
      <c r="C57" s="56">
        <v>32</v>
      </c>
      <c r="D57" s="47"/>
      <c r="E57" s="47"/>
      <c r="F57" s="44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ht="16.95" customHeight="1" spans="1:26">
      <c r="A58" s="58"/>
      <c r="B58" s="55" t="s">
        <v>90</v>
      </c>
      <c r="C58" s="56">
        <v>32</v>
      </c>
      <c r="D58" s="47"/>
      <c r="E58" s="47"/>
      <c r="F58" s="44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</row>
    <row r="59" ht="17.55" spans="1:26">
      <c r="A59" s="38"/>
      <c r="B59" s="38"/>
      <c r="C59" s="38"/>
      <c r="D59" s="38"/>
      <c r="E59" s="38"/>
      <c r="F59" s="39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</row>
    <row r="60" ht="17.55" spans="1:26">
      <c r="A60" s="39"/>
      <c r="B60" s="39"/>
      <c r="C60" s="39"/>
      <c r="D60" s="39"/>
      <c r="E60" s="39"/>
      <c r="F60" s="39"/>
      <c r="G60" s="39"/>
      <c r="H60" s="39"/>
      <c r="I60" s="39"/>
      <c r="J60" s="39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</row>
    <row r="61" ht="17.55" spans="1:26">
      <c r="A61" s="39"/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</row>
    <row r="62" ht="17.55" spans="1:26">
      <c r="A62" s="39"/>
      <c r="B62" s="39"/>
      <c r="C62" s="39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</row>
    <row r="63" ht="17.55" spans="1:26">
      <c r="A63" s="39"/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</row>
    <row r="64" ht="17.55" spans="1:26">
      <c r="A64" s="39"/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</row>
    <row r="65" ht="17.55" spans="1:26">
      <c r="A65" s="39"/>
      <c r="B65" s="39"/>
      <c r="C65" s="39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</row>
    <row r="66" ht="17.55" spans="1:26">
      <c r="A66" s="39"/>
      <c r="B66" s="39"/>
      <c r="C66" s="39"/>
      <c r="D66" s="39"/>
      <c r="E66" s="39"/>
      <c r="F66" s="39"/>
      <c r="G66" s="39"/>
      <c r="H66" s="39"/>
      <c r="I66" s="39"/>
      <c r="J66" s="39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</row>
    <row r="67" ht="17.55" spans="1:26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</row>
    <row r="68" ht="17.55" spans="1:26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</row>
    <row r="69" ht="17.55" spans="1:26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</row>
    <row r="70" ht="17.55" spans="1:26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</row>
    <row r="71" ht="17.55" spans="1:26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</row>
    <row r="72" ht="17.55" spans="1:26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</row>
    <row r="73" ht="17.55" spans="1:26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</row>
    <row r="74" ht="17.55" spans="1:26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</row>
    <row r="75" ht="17.55" spans="1:26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</row>
    <row r="76" ht="17.55" spans="1:2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</row>
    <row r="77" ht="17.55" spans="1:26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</row>
    <row r="78" ht="17.55" spans="1:26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</row>
    <row r="79" ht="17.55" spans="1:26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</row>
    <row r="80" ht="17.55" spans="1:26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</row>
    <row r="81" ht="17.55" spans="1:26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</row>
    <row r="82" ht="17.55" spans="1:26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</row>
    <row r="83" ht="17.55" spans="1:26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</row>
    <row r="84" ht="17.55" spans="1:26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</row>
    <row r="85" ht="17.55" spans="1:26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</row>
    <row r="86" ht="17.55" spans="1:2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</row>
    <row r="87" ht="17.55" spans="1:26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</row>
    <row r="88" ht="17.55" spans="1:26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</row>
    <row r="89" ht="17.55" spans="1:26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</row>
    <row r="90" ht="17.55" spans="1:26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</row>
    <row r="91" ht="17.55" spans="1:26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</row>
    <row r="92" ht="17.55" spans="1:26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</row>
    <row r="93" ht="17.55" spans="1:26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</row>
    <row r="94" ht="17.55" spans="1:26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</row>
    <row r="95" ht="17.55" spans="1:26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</row>
    <row r="96" ht="17.55" spans="1:2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</row>
    <row r="97" ht="17.55" spans="1:26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</row>
    <row r="98" ht="17.55" spans="1:26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</row>
    <row r="99" ht="17.55" spans="1:26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</row>
    <row r="100" ht="17.55" spans="1:26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</row>
    <row r="101" ht="17.55" spans="1:26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</row>
    <row r="102" ht="17.55" spans="1:26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</row>
    <row r="103" ht="17.55" spans="1:26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</row>
    <row r="104" ht="17.55" spans="1:26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</row>
    <row r="105" ht="17.55" spans="1:26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</row>
    <row r="106" ht="17.55" spans="1:2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</row>
    <row r="107" ht="17.55" spans="1:26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</row>
    <row r="108" ht="17.55" spans="1:26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</row>
    <row r="109" ht="17.55" spans="1:26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</row>
    <row r="110" ht="17.55" spans="1:26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</row>
    <row r="111" ht="17.55" spans="1:26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</row>
    <row r="112" ht="17.55" spans="1:26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</row>
    <row r="113" ht="17.55" spans="1:26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</row>
    <row r="114" ht="17.55" spans="1:26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</row>
    <row r="115" ht="17.55" spans="1:26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</row>
    <row r="116" ht="17.55" spans="1:2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</row>
    <row r="117" ht="17.55" spans="1:26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</row>
    <row r="118" ht="17.55" spans="1:26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</row>
    <row r="119" ht="17.55" spans="1:26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</row>
    <row r="120" ht="17.55" spans="1:26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</row>
    <row r="121" ht="17.55" spans="1:26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</row>
    <row r="122" ht="17.55" spans="1:26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</row>
    <row r="123" ht="17.55" spans="1:26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</row>
    <row r="124" ht="17.55" spans="1:26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</row>
    <row r="125" ht="17.55" spans="1:26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</row>
    <row r="126" ht="17.55" spans="1: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</row>
    <row r="127" ht="17.55" spans="1:26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</row>
    <row r="128" ht="17.55" spans="1:26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</row>
    <row r="129" ht="17.55" spans="1:26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</row>
    <row r="130" ht="17.55" spans="1:26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</row>
    <row r="131" ht="17.55" spans="1:26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</row>
    <row r="132" ht="17.55" spans="1:26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</row>
    <row r="133" ht="17.55" spans="1:26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</row>
    <row r="134" ht="17.55" spans="1:26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</row>
    <row r="135" ht="17.55" spans="1:26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</row>
    <row r="136" ht="17.55" spans="1:2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</row>
    <row r="137" ht="17.55" spans="1:26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</row>
    <row r="138" ht="17.55" spans="1:26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</row>
    <row r="139" ht="17.55" spans="1:26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</row>
    <row r="140" ht="17.55" spans="1:26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</row>
    <row r="141" ht="17.55" spans="1:26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</row>
    <row r="142" ht="17.55" spans="1:26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</row>
    <row r="143" ht="17.55" spans="1:26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</row>
    <row r="144" ht="17.55" spans="1:26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</row>
    <row r="145" ht="17.55" spans="1:26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</row>
    <row r="146" ht="17.55" spans="1:2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</row>
    <row r="147" ht="17.55" spans="1:26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</row>
    <row r="148" ht="17.55" spans="1:26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</row>
    <row r="149" ht="17.55" spans="1:26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</row>
    <row r="150" ht="17.55" spans="1:26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</row>
    <row r="151" ht="17.55" spans="1:26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</row>
    <row r="152" ht="17.55" spans="1:26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</row>
    <row r="153" ht="17.55" spans="1:26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</row>
    <row r="154" ht="17.55" spans="1:26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</row>
    <row r="155" ht="17.55" spans="1:26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</row>
    <row r="156" ht="17.55" spans="1:2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</row>
    <row r="157" ht="17.55" spans="1:26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</row>
    <row r="158" ht="17.55" spans="1:26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</row>
    <row r="159" ht="17.55" spans="1:26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</row>
    <row r="160" ht="17.55" spans="1:26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</row>
    <row r="161" ht="17.55" spans="1:26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</row>
    <row r="162" ht="17.55" spans="1:26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</row>
    <row r="163" ht="17.55" spans="1:26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</row>
    <row r="164" ht="17.55" spans="1:26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</row>
    <row r="165" ht="17.55" spans="1:26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</row>
    <row r="166" ht="17.55" spans="1:2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</row>
    <row r="167" ht="17.55" spans="1:26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</row>
    <row r="168" ht="17.55" spans="1:26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</row>
    <row r="169" ht="17.55" spans="1:26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</row>
    <row r="170" ht="17.55" spans="1:26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</row>
    <row r="171" ht="17.55" spans="1:26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</row>
    <row r="172" ht="17.55" spans="1:26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</row>
    <row r="173" ht="17.55" spans="1:26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</row>
    <row r="174" ht="17.55" spans="1:26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</row>
    <row r="175" ht="17.55" spans="1:26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</row>
    <row r="176" ht="17.55" spans="1:2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</row>
    <row r="177" ht="17.55" spans="1:26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</row>
    <row r="178" ht="17.55" spans="1:26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</row>
    <row r="179" ht="17.55" spans="1:26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</row>
    <row r="180" ht="17.55" spans="1:26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</row>
    <row r="181" ht="17.55" spans="1:26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</row>
    <row r="182" ht="17.55" spans="1:26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</row>
    <row r="183" ht="17.55" spans="1:26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</row>
    <row r="184" ht="17.55" spans="1:26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</row>
    <row r="185" ht="17.55" spans="1:26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</row>
    <row r="186" ht="17.55" spans="1:2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</row>
    <row r="187" ht="17.55" spans="1:26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</row>
    <row r="188" ht="17.55" spans="1:26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</row>
    <row r="189" ht="17.55" spans="1:26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</row>
    <row r="190" ht="17.55" spans="1:26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</row>
    <row r="191" ht="17.55" spans="1:26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</row>
    <row r="192" ht="17.55" spans="1:26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</row>
    <row r="193" ht="17.55" spans="1:26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</row>
    <row r="194" ht="17.55" spans="1:26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</row>
    <row r="195" ht="17.55" spans="1:26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</row>
    <row r="196" ht="17.55" spans="1:2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</row>
    <row r="197" ht="17.55" spans="1:26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</row>
    <row r="198" ht="17.55" spans="1:26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</row>
    <row r="199" ht="17.55" spans="1:26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</row>
    <row r="200" ht="17.55" spans="1:26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</row>
    <row r="201" ht="17.55" spans="1:26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</row>
    <row r="202" ht="17.55" spans="1:26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</row>
    <row r="203" ht="17.55" spans="1:26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</row>
    <row r="204" ht="17.55" spans="1:26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</row>
    <row r="205" ht="17.55" spans="1:26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</row>
    <row r="206" ht="17.55" spans="1:2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</row>
    <row r="207" ht="17.55" spans="1:26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</row>
    <row r="208" ht="17.55" spans="1:26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</row>
    <row r="209" ht="17.55" spans="1:26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</row>
    <row r="210" ht="17.55" spans="1:26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</row>
    <row r="211" ht="17.55" spans="1:26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</row>
    <row r="212" ht="17.55" spans="1:26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</row>
    <row r="213" ht="17.55" spans="1:26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</row>
    <row r="214" ht="17.55" spans="1:26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</row>
    <row r="215" ht="17.55" spans="1:26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</row>
    <row r="216" ht="17.55" spans="1:2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</row>
    <row r="217" ht="17.55" spans="1:26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</row>
    <row r="218" ht="17.55" spans="1:26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</row>
    <row r="219" ht="17.55" spans="1:26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</row>
    <row r="220" ht="17.55" spans="1:26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</row>
    <row r="221" ht="17.55" spans="1:26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</row>
    <row r="222" ht="17.55" spans="1:26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</row>
    <row r="223" ht="17.55" spans="1:26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</row>
    <row r="224" ht="17.55" spans="1:26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</row>
    <row r="225" ht="17.55" spans="1:26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</row>
    <row r="226" ht="17.55" spans="1: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</row>
    <row r="227" ht="17.55" spans="1:26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</row>
    <row r="228" ht="17.55" spans="1:26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</row>
    <row r="229" ht="17.55" spans="1:26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</row>
    <row r="230" ht="17.55" spans="1:26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</row>
    <row r="231" ht="17.55" spans="1:26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</row>
    <row r="232" ht="17.55" spans="1:26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</row>
    <row r="233" ht="17.55" spans="1:26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</row>
    <row r="234" ht="17.55" spans="1:26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</row>
    <row r="235" ht="17.55" spans="1:26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</row>
    <row r="236" ht="17.55" spans="1:2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</row>
    <row r="237" ht="17.55" spans="1:26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</row>
    <row r="238" ht="17.55" spans="1:26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</row>
    <row r="239" ht="17.55" spans="1:26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</row>
    <row r="240" ht="17.55" spans="1:26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</row>
    <row r="241" ht="17.55" spans="1:26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</row>
    <row r="242" ht="17.55" spans="1:26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</row>
    <row r="243" ht="17.55" spans="1:26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</row>
    <row r="244" ht="17.55" spans="1:26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</row>
    <row r="245" ht="17.55" spans="1:26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</row>
    <row r="246" ht="17.55" spans="1:2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</row>
    <row r="247" ht="17.55" spans="1:26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</row>
    <row r="248" ht="17.55" spans="1:26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</row>
    <row r="249" ht="17.55" spans="1:26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</row>
    <row r="250" ht="17.55" spans="1:26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</row>
    <row r="251" ht="17.55" spans="1:26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</row>
    <row r="252" ht="17.55" spans="1:26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</row>
    <row r="253" ht="17.55" spans="1:26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</row>
    <row r="254" ht="17.55" spans="1:26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</row>
    <row r="255" ht="17.55" spans="1:26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</row>
    <row r="256" ht="17.55" spans="1:2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</row>
    <row r="257" ht="17.55" spans="1:26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</row>
    <row r="258" ht="17.55" spans="1:26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</row>
    <row r="259" ht="17.55" spans="1:26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</row>
    <row r="260" ht="17.55" spans="1:26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</row>
    <row r="261" ht="17.55" spans="1:26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</row>
    <row r="262" ht="17.55" spans="1:26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</row>
    <row r="263" ht="17.55" spans="1:26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</row>
    <row r="264" ht="17.55" spans="1:26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</row>
    <row r="265" ht="17.55" spans="1:26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</row>
    <row r="266" ht="17.55" spans="1:2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</row>
    <row r="267" ht="17.55" spans="1:26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</row>
    <row r="268" ht="17.55" spans="1:26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</row>
    <row r="269" ht="17.55" spans="1:26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</row>
    <row r="270" ht="17.55" spans="1:26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</row>
    <row r="271" ht="17.55" spans="1:26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</row>
    <row r="272" ht="17.55" spans="1:26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</row>
    <row r="273" ht="17.55" spans="1:26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</row>
    <row r="274" ht="17.55" spans="1:26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</row>
    <row r="275" ht="17.55" spans="1:26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</row>
    <row r="276" ht="17.55" spans="1:2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</row>
    <row r="277" ht="17.55" spans="1:26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</row>
    <row r="278" ht="17.55" spans="1:26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</row>
    <row r="279" ht="17.55" spans="1:26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</row>
    <row r="280" ht="17.55" spans="1:26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</row>
    <row r="281" ht="17.55" spans="1:26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</row>
    <row r="282" ht="17.55" spans="1:26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</row>
    <row r="283" ht="17.55" spans="1:26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</row>
    <row r="284" ht="17.55" spans="1:26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</row>
    <row r="285" ht="17.55" spans="1:26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</row>
    <row r="286" ht="17.55" spans="1:2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</row>
    <row r="287" ht="17.55" spans="1:26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</row>
    <row r="288" ht="17.55" spans="1:26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</row>
    <row r="289" ht="17.55" spans="1:26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</row>
    <row r="290" ht="17.55" spans="1:26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</row>
    <row r="291" ht="17.55" spans="1:26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</row>
    <row r="292" ht="17.55" spans="1:26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</row>
    <row r="293" ht="17.55" spans="1:26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</row>
    <row r="294" ht="17.55" spans="1:26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</row>
    <row r="295" ht="17.55" spans="1:26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</row>
    <row r="296" ht="17.55" spans="1:2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</row>
    <row r="297" ht="17.55" spans="1:26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</row>
    <row r="298" ht="17.55" spans="1:26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</row>
    <row r="299" ht="17.55" spans="1:26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</row>
    <row r="300" ht="17.55" spans="1:26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</row>
    <row r="301" ht="17.55" spans="1:26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</row>
    <row r="302" ht="17.55" spans="1:26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</row>
    <row r="303" ht="17.55" spans="1:26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</row>
    <row r="304" ht="17.55" spans="1:26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</row>
    <row r="305" ht="17.55" spans="1:26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</row>
    <row r="306" ht="17.55" spans="1:2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</row>
    <row r="307" ht="17.55" spans="1:26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</row>
    <row r="308" ht="17.55" spans="1:26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</row>
    <row r="309" ht="17.55" spans="1:26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</row>
    <row r="310" ht="17.55" spans="1:26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</row>
    <row r="311" ht="17.55" spans="1:26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</row>
    <row r="312" ht="17.55" spans="1:26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</row>
    <row r="313" ht="17.55" spans="1:26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</row>
    <row r="314" ht="17.55" spans="1:26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</row>
    <row r="315" ht="17.55" spans="1:26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</row>
    <row r="316" ht="17.55" spans="1:2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</row>
    <row r="317" ht="17.55" spans="1:26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</row>
    <row r="318" ht="17.55" spans="1:26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</row>
    <row r="319" ht="17.55" spans="1:26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</row>
    <row r="320" ht="17.55" spans="1:26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</row>
    <row r="321" ht="17.55" spans="1:26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</row>
    <row r="322" ht="17.55" spans="1:26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</row>
    <row r="323" ht="17.55" spans="1:26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</row>
    <row r="324" ht="17.55" spans="1:26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</row>
    <row r="325" ht="17.55" spans="1:26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</row>
    <row r="326" ht="17.55" spans="1: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</row>
    <row r="327" ht="17.55" spans="1:26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</row>
    <row r="328" ht="17.55" spans="1:26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</row>
    <row r="329" ht="17.55" spans="1:26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</row>
    <row r="330" ht="17.55" spans="1:26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</row>
    <row r="331" ht="17.55" spans="1:26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</row>
    <row r="332" ht="17.55" spans="1:26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</row>
    <row r="333" ht="17.55" spans="1:26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</row>
    <row r="334" ht="17.55" spans="1:26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</row>
    <row r="335" ht="17.55" spans="1:26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</row>
    <row r="336" ht="17.55" spans="1:2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</row>
    <row r="337" ht="17.55" spans="1:26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</row>
    <row r="338" ht="17.55" spans="1:26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</row>
    <row r="339" ht="17.55" spans="1:26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</row>
    <row r="340" ht="17.55" spans="1:26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</row>
    <row r="341" ht="17.55" spans="1:26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</row>
    <row r="342" ht="17.55" spans="1:26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</row>
    <row r="343" ht="17.55" spans="1:26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</row>
    <row r="344" ht="17.55" spans="1:26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</row>
    <row r="345" ht="17.55" spans="1:26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</row>
    <row r="346" ht="17.55" spans="1:2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</row>
    <row r="347" ht="17.55" spans="1:26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</row>
    <row r="348" ht="17.55" spans="1:26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</row>
    <row r="349" ht="17.55" spans="1:26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</row>
    <row r="350" ht="17.55" spans="1:26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</row>
    <row r="351" ht="17.55" spans="1:26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</row>
    <row r="352" ht="17.55" spans="1:26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</row>
    <row r="353" ht="17.55" spans="1:26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</row>
    <row r="354" ht="17.55" spans="1:26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</row>
    <row r="355" ht="17.55" spans="1:26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</row>
    <row r="356" ht="17.55" spans="1:2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</row>
    <row r="357" ht="17.55" spans="1:26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</row>
    <row r="358" ht="17.55" spans="1:26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</row>
    <row r="359" ht="17.55" spans="1:26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</row>
    <row r="360" ht="17.55" spans="1:26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</row>
    <row r="361" ht="17.55" spans="1:26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</row>
    <row r="362" ht="17.55" spans="1:26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</row>
    <row r="363" ht="17.55" spans="1:26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</row>
    <row r="364" ht="17.55" spans="1:26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</row>
    <row r="365" ht="17.55" spans="1:26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</row>
    <row r="366" ht="17.55" spans="1:2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</row>
    <row r="367" ht="17.55" spans="1:26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</row>
    <row r="368" ht="17.55" spans="1:26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</row>
    <row r="369" ht="17.55" spans="1:26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</row>
    <row r="370" ht="17.55" spans="1:26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</row>
    <row r="371" ht="17.55" spans="1:26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</row>
    <row r="372" ht="17.55" spans="1:26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</row>
    <row r="373" ht="17.55" spans="1:26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</row>
    <row r="374" ht="17.55" spans="1:26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</row>
    <row r="375" ht="17.55" spans="1:26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</row>
    <row r="376" ht="17.55" spans="1:2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</row>
    <row r="377" ht="17.55" spans="1:26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</row>
    <row r="378" ht="17.55" spans="1:26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</row>
    <row r="379" ht="17.55" spans="1:26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</row>
    <row r="380" ht="17.55" spans="1:26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</row>
    <row r="381" ht="17.55" spans="1:26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</row>
    <row r="382" ht="17.55" spans="1:26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</row>
    <row r="383" ht="17.55" spans="1:26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</row>
    <row r="384" ht="17.55" spans="1:26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</row>
    <row r="385" ht="17.55" spans="1:26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</row>
    <row r="386" ht="17.55" spans="1:2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</row>
    <row r="387" ht="17.55" spans="1:26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</row>
    <row r="388" ht="17.55" spans="1:26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</row>
    <row r="389" ht="17.55" spans="1:26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</row>
    <row r="390" ht="17.55" spans="1:26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</row>
    <row r="391" ht="17.55" spans="1:26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</row>
    <row r="392" ht="17.55" spans="1:26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</row>
    <row r="393" ht="17.55" spans="1:26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</row>
    <row r="394" ht="17.55" spans="1:26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</row>
    <row r="395" ht="17.55" spans="1:26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</row>
    <row r="396" ht="17.55" spans="1:2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</row>
    <row r="397" ht="17.55" spans="1:26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</row>
    <row r="398" ht="17.55" spans="1:26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</row>
    <row r="399" ht="17.55" spans="1:26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</row>
    <row r="400" ht="17.55" spans="1:26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</row>
    <row r="401" ht="17.55" spans="1:26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</row>
    <row r="402" ht="17.55" spans="1:26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</row>
    <row r="403" ht="17.55" spans="1:26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</row>
    <row r="404" ht="17.55" spans="1:26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</row>
    <row r="405" ht="17.55" spans="1:26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</row>
    <row r="406" ht="17.55" spans="1:2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</row>
    <row r="407" ht="17.55" spans="1:26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</row>
    <row r="408" ht="17.55" spans="1:26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</row>
    <row r="409" ht="17.55" spans="1:26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</row>
    <row r="410" ht="17.55" spans="1:26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</row>
    <row r="411" ht="17.55" spans="1:26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</row>
    <row r="412" ht="17.55" spans="1:26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</row>
    <row r="413" ht="17.55" spans="1:26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</row>
    <row r="414" ht="17.55" spans="1:26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</row>
    <row r="415" ht="17.55" spans="1:26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</row>
    <row r="416" ht="17.55" spans="1:2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</row>
    <row r="417" ht="17.55" spans="1:26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</row>
    <row r="418" ht="17.55" spans="1:26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</row>
    <row r="419" ht="17.55" spans="1:26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</row>
    <row r="420" ht="17.55" spans="1:26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</row>
    <row r="421" ht="17.55" spans="1:26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</row>
    <row r="422" ht="17.55" spans="1:26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</row>
    <row r="423" ht="17.55" spans="1:26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</row>
    <row r="424" ht="17.55" spans="1:26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</row>
    <row r="425" ht="17.55" spans="1:26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</row>
    <row r="426" ht="17.55" spans="1: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</row>
    <row r="427" ht="17.55" spans="1:26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</row>
    <row r="428" ht="17.55" spans="1:26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</row>
    <row r="429" ht="17.55" spans="1:26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</row>
    <row r="430" ht="17.55" spans="1:26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</row>
    <row r="431" ht="17.55" spans="1:26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</row>
    <row r="432" ht="17.55" spans="1:26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</row>
    <row r="433" ht="17.55" spans="1:26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</row>
    <row r="434" ht="17.55" spans="1:26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</row>
    <row r="435" ht="17.55" spans="1:26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</row>
    <row r="436" ht="17.55" spans="1:2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</row>
    <row r="437" ht="17.55" spans="1:26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</row>
    <row r="438" ht="17.55" spans="1:26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</row>
    <row r="439" ht="17.55" spans="1:26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</row>
    <row r="440" ht="17.55" spans="1:26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</row>
    <row r="441" ht="17.55" spans="1:26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</row>
    <row r="442" ht="17.55" spans="1:26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</row>
    <row r="443" ht="17.55" spans="1:26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</row>
    <row r="444" ht="17.55" spans="1:26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</row>
    <row r="445" ht="17.55" spans="1:26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</row>
    <row r="446" ht="17.55" spans="1:2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</row>
    <row r="447" ht="17.55" spans="1:26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</row>
    <row r="448" ht="17.55" spans="1:26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</row>
    <row r="449" ht="17.55" spans="1:26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</row>
    <row r="450" ht="17.55" spans="1:26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</row>
    <row r="451" ht="17.55" spans="1:26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</row>
    <row r="452" ht="17.55" spans="1:26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</row>
    <row r="453" ht="17.55" spans="1:26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</row>
    <row r="454" ht="17.55" spans="1:26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</row>
    <row r="455" ht="17.55" spans="1:26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</row>
    <row r="456" ht="17.55" spans="1:2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</row>
    <row r="457" ht="17.55" spans="1:26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</row>
    <row r="458" ht="17.55" spans="1:26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</row>
    <row r="459" ht="17.55" spans="1:26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</row>
    <row r="460" ht="17.55" spans="1:26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</row>
    <row r="461" ht="17.55" spans="1:26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</row>
    <row r="462" ht="17.55" spans="1:26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</row>
    <row r="463" ht="17.55" spans="1:26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</row>
    <row r="464" ht="17.55" spans="1:26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</row>
    <row r="465" ht="17.55" spans="1:26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</row>
    <row r="466" ht="17.55" spans="1:2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</row>
    <row r="467" ht="17.55" spans="1:26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</row>
    <row r="468" ht="17.55" spans="1:26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</row>
    <row r="469" ht="17.55" spans="1:26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</row>
    <row r="470" ht="17.55" spans="1:26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</row>
    <row r="471" ht="17.55" spans="1:26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</row>
    <row r="472" ht="17.55" spans="1:26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</row>
    <row r="473" ht="17.55" spans="1:26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</row>
    <row r="474" ht="17.55" spans="1:26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</row>
    <row r="475" ht="17.55" spans="1:26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</row>
    <row r="476" ht="17.55" spans="1:2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</row>
    <row r="477" ht="17.55" spans="1:26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</row>
    <row r="478" ht="17.55" spans="1:26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</row>
    <row r="479" ht="17.55" spans="1:26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</row>
    <row r="480" ht="17.55" spans="1:26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</row>
    <row r="481" ht="17.55" spans="1:26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</row>
    <row r="482" ht="17.55" spans="1:26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</row>
    <row r="483" ht="17.55" spans="1:26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</row>
    <row r="484" ht="17.55" spans="1:26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</row>
    <row r="485" ht="17.55" spans="1:26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</row>
    <row r="486" ht="17.55" spans="1:2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</row>
    <row r="487" ht="17.55" spans="1:26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</row>
    <row r="488" ht="17.55" spans="1:26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</row>
    <row r="489" ht="17.55" spans="1:26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</row>
    <row r="490" ht="17.55" spans="1:26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</row>
    <row r="491" ht="17.55" spans="1:26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</row>
    <row r="492" ht="17.55" spans="1:26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</row>
    <row r="493" ht="17.55" spans="1:26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</row>
    <row r="494" ht="17.55" spans="1:26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</row>
    <row r="495" ht="17.55" spans="1:26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</row>
    <row r="496" ht="17.55" spans="1:2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</row>
    <row r="497" ht="17.55" spans="1:26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</row>
    <row r="498" ht="17.55" spans="1:26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</row>
    <row r="499" ht="17.55" spans="1:26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</row>
    <row r="500" ht="17.55" spans="1:26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</row>
    <row r="501" ht="17.55" spans="1:26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</row>
    <row r="502" ht="17.55" spans="1:26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</row>
    <row r="503" ht="17.55" spans="1:26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</row>
    <row r="504" ht="17.55" spans="1:26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</row>
    <row r="505" ht="17.55" spans="1:26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</row>
    <row r="506" ht="17.55" spans="1:2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</row>
    <row r="507" ht="17.55" spans="1:26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</row>
    <row r="508" ht="17.55" spans="1:26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</row>
    <row r="509" ht="17.55" spans="1:26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</row>
    <row r="510" ht="17.55" spans="1:26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</row>
    <row r="511" ht="17.55" spans="1:26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</row>
    <row r="512" ht="17.55" spans="1:26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</row>
    <row r="513" ht="17.55" spans="1:26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</row>
    <row r="514" ht="17.55" spans="1:26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</row>
    <row r="515" ht="17.55" spans="1:26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</row>
    <row r="516" ht="17.55" spans="1:2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</row>
    <row r="517" ht="17.55" spans="1:26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</row>
    <row r="518" ht="17.55" spans="1:26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</row>
    <row r="519" ht="17.55" spans="1:26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</row>
    <row r="520" ht="17.55" spans="1:26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</row>
    <row r="521" ht="17.55" spans="1:26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</row>
    <row r="522" ht="17.55" spans="1:26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</row>
    <row r="523" ht="17.55" spans="1:26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</row>
    <row r="524" ht="17.55" spans="1:26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</row>
    <row r="525" ht="17.55" spans="1:26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</row>
    <row r="526" ht="17.55" spans="1: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</row>
    <row r="527" ht="17.55" spans="1:26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</row>
    <row r="528" ht="17.55" spans="1:26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</row>
    <row r="529" ht="17.55" spans="1:26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</row>
    <row r="530" ht="17.55" spans="1:26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</row>
    <row r="531" ht="17.55" spans="1:26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</row>
    <row r="532" ht="17.55" spans="1:26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</row>
    <row r="533" ht="17.55" spans="1:26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</row>
    <row r="534" ht="17.55" spans="1:26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</row>
    <row r="535" ht="17.55" spans="1:26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</row>
    <row r="536" ht="17.55" spans="1:2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</row>
    <row r="537" ht="17.55" spans="1:26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</row>
    <row r="538" ht="17.55" spans="1:26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</row>
    <row r="539" ht="17.55" spans="1:26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</row>
    <row r="540" ht="17.55" spans="1:26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</row>
    <row r="541" ht="17.55" spans="1:26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</row>
    <row r="542" ht="17.55" spans="1:26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</row>
    <row r="543" ht="17.55" spans="1:26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</row>
    <row r="544" ht="17.55" spans="1:26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</row>
    <row r="545" ht="17.55" spans="1:26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</row>
    <row r="546" ht="17.55" spans="1:2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</row>
    <row r="547" ht="17.55" spans="1:26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</row>
    <row r="548" ht="17.55" spans="1:26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</row>
    <row r="549" ht="17.55" spans="1:26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</row>
    <row r="550" ht="17.55" spans="1:26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</row>
    <row r="551" ht="17.55" spans="1:26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</row>
    <row r="552" ht="17.55" spans="1:26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</row>
    <row r="553" ht="17.55" spans="1:26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</row>
    <row r="554" ht="17.55" spans="1:26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</row>
    <row r="555" ht="17.55" spans="1:26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</row>
    <row r="556" ht="17.55" spans="1:2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</row>
    <row r="557" ht="17.55" spans="1:26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</row>
    <row r="558" ht="17.55" spans="1:26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</row>
    <row r="559" ht="17.55" spans="1:26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</row>
    <row r="560" ht="17.55" spans="1:26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</row>
    <row r="561" ht="17.55" spans="1:26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</row>
    <row r="562" ht="17.55" spans="1:26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</row>
    <row r="563" ht="17.55" spans="1:26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</row>
    <row r="564" ht="17.55" spans="1:26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</row>
    <row r="565" ht="17.55" spans="1:26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</row>
    <row r="566" ht="17.55" spans="1:2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</row>
    <row r="567" ht="17.55" spans="1:26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</row>
    <row r="568" ht="17.55" spans="1:26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</row>
    <row r="569" ht="17.55" spans="1:26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</row>
    <row r="570" ht="17.55" spans="1:26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</row>
    <row r="571" ht="17.55" spans="1:26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</row>
    <row r="572" ht="17.55" spans="1:26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</row>
    <row r="573" ht="17.55" spans="1:26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</row>
    <row r="574" ht="17.55" spans="1:26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</row>
    <row r="575" ht="17.55" spans="1:26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</row>
    <row r="576" ht="17.55" spans="1:2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</row>
    <row r="577" ht="17.55" spans="1:26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</row>
    <row r="578" ht="17.55" spans="1:26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</row>
    <row r="579" ht="17.55" spans="1:26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</row>
    <row r="580" ht="17.55" spans="1:26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</row>
    <row r="581" ht="17.55" spans="1:26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</row>
    <row r="582" ht="17.55" spans="1:26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</row>
    <row r="583" ht="17.55" spans="1:26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</row>
    <row r="584" ht="17.55" spans="1:26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</row>
    <row r="585" ht="17.55" spans="1:26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</row>
    <row r="586" ht="17.55" spans="1:2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</row>
    <row r="587" ht="17.55" spans="1:26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</row>
    <row r="588" ht="17.55" spans="1:26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</row>
    <row r="589" ht="17.55" spans="1:26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</row>
    <row r="590" ht="17.55" spans="1:26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</row>
    <row r="591" ht="17.55" spans="1:26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</row>
    <row r="592" ht="17.55" spans="1:26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</row>
    <row r="593" ht="17.55" spans="1:26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</row>
    <row r="594" ht="17.55" spans="1:26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</row>
    <row r="595" ht="17.55" spans="1:26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</row>
    <row r="596" ht="17.55" spans="1:2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</row>
    <row r="597" ht="17.55" spans="1:26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</row>
    <row r="598" ht="17.55" spans="1:26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</row>
    <row r="599" ht="17.55" spans="1:26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</row>
    <row r="600" ht="17.55" spans="1:26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</row>
    <row r="601" ht="17.55" spans="1:26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</row>
    <row r="602" ht="17.55" spans="1:26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</row>
    <row r="603" ht="17.55" spans="1:26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</row>
    <row r="604" ht="17.55" spans="1:26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</row>
    <row r="605" ht="17.55" spans="1:26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</row>
    <row r="606" ht="17.55" spans="1:2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</row>
    <row r="607" ht="17.55" spans="1:26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</row>
    <row r="608" ht="17.55" spans="1:26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</row>
    <row r="609" ht="17.55" spans="1:26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</row>
    <row r="610" ht="17.55" spans="1:26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</row>
    <row r="611" ht="17.55" spans="1:26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</row>
    <row r="612" ht="17.55" spans="1:26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</row>
    <row r="613" ht="17.55" spans="1:26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</row>
    <row r="614" ht="17.55" spans="1:26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</row>
    <row r="615" ht="17.55" spans="1:26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</row>
    <row r="616" ht="17.55" spans="1:2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</row>
    <row r="617" ht="17.55" spans="1:26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</row>
    <row r="618" ht="17.55" spans="1:26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</row>
    <row r="619" ht="17.55" spans="1:26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</row>
    <row r="620" ht="17.55" spans="1:26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</row>
    <row r="621" ht="17.55" spans="1:26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</row>
    <row r="622" ht="17.55" spans="1:26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</row>
    <row r="623" ht="17.55" spans="1:26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</row>
    <row r="624" ht="17.55" spans="1:26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</row>
    <row r="625" ht="17.55" spans="1:26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</row>
    <row r="626" ht="17.55" spans="1: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</row>
    <row r="627" ht="17.55" spans="1:26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</row>
    <row r="628" ht="17.55" spans="1:26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</row>
    <row r="629" ht="17.55" spans="1:26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</row>
    <row r="630" ht="17.55" spans="1:26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</row>
    <row r="631" ht="17.55" spans="1:26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</row>
    <row r="632" ht="17.55" spans="1:26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</row>
    <row r="633" ht="17.55" spans="1:26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</row>
    <row r="634" ht="17.55" spans="1:26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</row>
    <row r="635" ht="17.55" spans="1:26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</row>
    <row r="636" ht="17.55" spans="1:2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</row>
    <row r="637" ht="17.55" spans="1:26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</row>
    <row r="638" ht="17.55" spans="1:26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</row>
    <row r="639" ht="17.55" spans="1:26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</row>
    <row r="640" ht="17.55" spans="1:26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</row>
    <row r="641" ht="17.55" spans="1:26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</row>
    <row r="642" ht="17.55" spans="1:26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</row>
    <row r="643" ht="17.55" spans="1:26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</row>
    <row r="644" ht="17.55" spans="1:26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</row>
    <row r="645" ht="17.55" spans="1:26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</row>
    <row r="646" ht="17.55" spans="1:2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</row>
    <row r="647" ht="17.55" spans="1:26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</row>
    <row r="648" ht="17.55" spans="1:26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</row>
    <row r="649" ht="17.55" spans="1:26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</row>
    <row r="650" ht="17.55" spans="1:26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</row>
    <row r="651" ht="17.55" spans="1:26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</row>
    <row r="652" ht="17.55" spans="1:26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</row>
    <row r="653" ht="17.55" spans="1:26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</row>
    <row r="654" ht="17.55" spans="1:26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</row>
    <row r="655" ht="17.55" spans="1:26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</row>
    <row r="656" ht="17.55" spans="1:2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</row>
    <row r="657" ht="17.55" spans="1:26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</row>
    <row r="658" ht="17.55" spans="1:26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</row>
    <row r="659" ht="17.55" spans="1:26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</row>
    <row r="660" ht="17.55" spans="1:26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</row>
    <row r="661" ht="17.55" spans="1:26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</row>
    <row r="662" ht="17.55" spans="1:26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</row>
    <row r="663" ht="17.55" spans="1:26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</row>
    <row r="664" ht="17.55" spans="1:26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</row>
    <row r="665" ht="17.55" spans="1:26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</row>
    <row r="666" ht="17.55" spans="1:2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</row>
    <row r="667" ht="17.55" spans="1:26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</row>
    <row r="668" ht="17.55" spans="1:26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</row>
    <row r="669" ht="17.55" spans="1:26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</row>
    <row r="670" ht="17.55" spans="1:26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</row>
    <row r="671" ht="17.55" spans="1:26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</row>
    <row r="672" ht="17.55" spans="1:26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</row>
    <row r="673" ht="17.55" spans="1:26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</row>
    <row r="674" ht="17.55" spans="1:26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</row>
    <row r="675" ht="17.55" spans="1:26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</row>
    <row r="676" ht="17.55" spans="1:2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</row>
    <row r="677" ht="17.55" spans="1:26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</row>
    <row r="678" ht="17.55" spans="1:26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</row>
    <row r="679" ht="17.55" spans="1:26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</row>
    <row r="680" ht="17.55" spans="1:26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</row>
    <row r="681" ht="17.55" spans="1:26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</row>
    <row r="682" ht="17.55" spans="1:26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</row>
    <row r="683" ht="17.55" spans="1:26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</row>
    <row r="684" ht="17.55" spans="1:26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</row>
    <row r="685" ht="17.55" spans="1:26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</row>
    <row r="686" ht="17.55" spans="1:2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</row>
    <row r="687" ht="17.55" spans="1:26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</row>
    <row r="688" ht="17.55" spans="1:26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</row>
    <row r="689" ht="17.55" spans="1:26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</row>
    <row r="690" ht="17.55" spans="1:26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</row>
    <row r="691" ht="17.55" spans="1:26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</row>
    <row r="692" ht="17.55" spans="1:26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</row>
    <row r="693" ht="17.55" spans="1:26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</row>
    <row r="694" ht="17.55" spans="1:26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</row>
    <row r="695" ht="17.55" spans="1:26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</row>
    <row r="696" ht="17.55" spans="1:2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</row>
    <row r="697" ht="17.55" spans="1:26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</row>
    <row r="698" ht="17.55" spans="1:26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</row>
    <row r="699" ht="17.55" spans="1:26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</row>
    <row r="700" ht="17.55" spans="1:26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</row>
    <row r="701" ht="17.55" spans="1:26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</row>
    <row r="702" ht="17.55" spans="1:26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</row>
    <row r="703" ht="17.55" spans="1:26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</row>
    <row r="704" ht="17.55" spans="1:26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</row>
    <row r="705" ht="17.55" spans="1:26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</row>
    <row r="706" ht="17.55" spans="1:2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</row>
    <row r="707" ht="17.55" spans="1:26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</row>
    <row r="708" ht="17.55" spans="1:26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</row>
    <row r="709" ht="17.55" spans="1:26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</row>
    <row r="710" ht="17.55" spans="1:26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</row>
    <row r="711" ht="17.55" spans="1:26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</row>
    <row r="712" ht="17.55" spans="1:26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</row>
    <row r="713" ht="17.55" spans="1:26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</row>
    <row r="714" ht="17.55" spans="1:26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</row>
    <row r="715" ht="17.55" spans="1:26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</row>
    <row r="716" ht="17.55" spans="1:2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</row>
    <row r="717" ht="17.55" spans="1:26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</row>
    <row r="718" ht="17.55" spans="1:26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</row>
    <row r="719" ht="17.55" spans="1:26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</row>
    <row r="720" ht="17.55" spans="1:26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</row>
    <row r="721" ht="17.55" spans="1:26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</row>
    <row r="722" ht="17.55" spans="1:26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</row>
    <row r="723" ht="17.55" spans="1:26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</row>
    <row r="724" ht="17.55" spans="1:26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</row>
    <row r="725" ht="17.55" spans="1:26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</row>
    <row r="726" ht="17.55" spans="1: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</row>
    <row r="727" ht="17.55" spans="1:26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</row>
    <row r="728" ht="17.55" spans="1:26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</row>
    <row r="729" ht="17.55" spans="1:26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</row>
    <row r="730" ht="17.55" spans="1:26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</row>
    <row r="731" ht="17.55" spans="1:26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</row>
    <row r="732" ht="17.55" spans="1:26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</row>
    <row r="733" ht="17.55" spans="1:26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</row>
    <row r="734" ht="17.55" spans="1:26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</row>
    <row r="735" ht="17.55" spans="1:26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</row>
    <row r="736" ht="17.55" spans="1:2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</row>
    <row r="737" ht="17.55" spans="1:26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</row>
    <row r="738" ht="17.55" spans="1:26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</row>
    <row r="739" ht="17.55" spans="1:26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</row>
    <row r="740" ht="17.55" spans="1:26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</row>
    <row r="741" ht="17.55" spans="1:26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</row>
    <row r="742" ht="17.55" spans="1:26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</row>
    <row r="743" ht="17.55" spans="1:26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</row>
    <row r="744" ht="17.55" spans="1:26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</row>
    <row r="745" ht="17.55" spans="1:26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</row>
    <row r="746" ht="17.55" spans="1:2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</row>
    <row r="747" ht="17.55" spans="1:26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</row>
    <row r="748" ht="17.55" spans="1:26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</row>
    <row r="749" ht="17.55" spans="1:26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</row>
    <row r="750" ht="17.55" spans="1:26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</row>
    <row r="751" ht="17.55" spans="1:26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</row>
    <row r="752" ht="17.55" spans="1:26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</row>
    <row r="753" ht="17.55" spans="1:26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</row>
    <row r="754" ht="17.55" spans="1:26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</row>
    <row r="755" ht="17.55" spans="1:26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</row>
    <row r="756" ht="17.55" spans="1:2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</row>
    <row r="757" ht="17.55" spans="1:26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</row>
    <row r="758" ht="17.55" spans="1:26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</row>
    <row r="759" ht="17.55" spans="1:26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</row>
    <row r="760" ht="17.55" spans="1:26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</row>
    <row r="761" ht="17.55" spans="1:26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</row>
    <row r="762" ht="17.55" spans="1:26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</row>
    <row r="763" ht="17.55" spans="1:26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</row>
    <row r="764" ht="17.55" spans="1:26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</row>
    <row r="765" ht="17.55" spans="1:26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</row>
    <row r="766" ht="17.55" spans="1:2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</row>
    <row r="767" ht="17.55" spans="1:26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</row>
    <row r="768" ht="17.55" spans="1:26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</row>
    <row r="769" ht="17.55" spans="1:26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</row>
    <row r="770" ht="17.55" spans="1:26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</row>
    <row r="771" ht="17.55" spans="1:26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</row>
    <row r="772" ht="17.55" spans="1:26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</row>
    <row r="773" ht="17.55" spans="1:26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</row>
    <row r="774" ht="17.55" spans="1:26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</row>
    <row r="775" ht="17.55" spans="1:26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</row>
    <row r="776" ht="17.55" spans="1:2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</row>
    <row r="777" ht="17.55" spans="1:26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</row>
    <row r="778" ht="17.55" spans="1:26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</row>
    <row r="779" ht="17.55" spans="1:26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</row>
    <row r="780" ht="17.55" spans="1:26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</row>
    <row r="781" ht="17.55" spans="1:26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</row>
    <row r="782" ht="17.55" spans="1:26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</row>
    <row r="783" ht="17.55" spans="1:26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</row>
    <row r="784" ht="17.55" spans="1:26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</row>
    <row r="785" ht="17.55" spans="1:26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</row>
    <row r="786" ht="17.55" spans="1:2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</row>
    <row r="787" ht="17.55" spans="1:26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</row>
    <row r="788" ht="17.55" spans="1:26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</row>
    <row r="789" ht="17.55" spans="1:26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</row>
    <row r="790" ht="17.55" spans="1:26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</row>
    <row r="791" ht="17.55" spans="1:26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</row>
    <row r="792" ht="17.55" spans="1:26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</row>
    <row r="793" ht="17.55" spans="1:26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</row>
    <row r="794" ht="17.55" spans="1:26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</row>
    <row r="795" ht="17.55" spans="1:26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</row>
    <row r="796" ht="17.55" spans="1:2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</row>
    <row r="797" ht="17.55" spans="1:26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</row>
    <row r="798" ht="17.55" spans="1:26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</row>
    <row r="799" ht="17.55" spans="1:26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</row>
    <row r="800" ht="17.55" spans="1:26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</row>
    <row r="801" ht="17.55" spans="1:26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</row>
    <row r="802" ht="17.55" spans="1:26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</row>
    <row r="803" ht="17.55" spans="1:26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</row>
    <row r="804" ht="17.55" spans="1:26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</row>
    <row r="805" ht="17.55" spans="1:26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</row>
    <row r="806" ht="17.55" spans="1:2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</row>
    <row r="807" ht="17.55" spans="1:26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</row>
    <row r="808" ht="17.55" spans="1:26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</row>
    <row r="809" ht="17.55" spans="1:26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</row>
    <row r="810" ht="17.55" spans="1:26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</row>
    <row r="811" ht="17.55" spans="1:26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</row>
    <row r="812" ht="17.55" spans="1:26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</row>
    <row r="813" ht="17.55" spans="1:26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</row>
    <row r="814" ht="17.55" spans="1:26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</row>
    <row r="815" ht="17.55" spans="1:26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</row>
    <row r="816" ht="17.55" spans="1:2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</row>
    <row r="817" ht="17.55" spans="1:26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</row>
    <row r="818" ht="17.55" spans="1:26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</row>
    <row r="819" ht="17.55" spans="1:26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</row>
    <row r="820" ht="17.55" spans="1:26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</row>
    <row r="821" ht="17.55" spans="1:26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</row>
    <row r="822" ht="17.55" spans="1:26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</row>
    <row r="823" ht="17.55" spans="1:26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</row>
    <row r="824" ht="17.55" spans="1:26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</row>
    <row r="825" ht="17.55" spans="1:26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</row>
    <row r="826" ht="17.55" spans="1: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</row>
    <row r="827" ht="17.55" spans="1:26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</row>
    <row r="828" ht="17.55" spans="1:26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</row>
    <row r="829" ht="17.55" spans="1:26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</row>
    <row r="830" ht="17.55" spans="1:26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</row>
    <row r="831" ht="17.55" spans="1:26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</row>
    <row r="832" ht="17.55" spans="1:26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</row>
    <row r="833" ht="17.55" spans="1:26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</row>
    <row r="834" ht="17.55" spans="1:26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</row>
    <row r="835" ht="17.55" spans="1:26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</row>
    <row r="836" ht="17.55" spans="1:2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</row>
    <row r="837" ht="17.55" spans="1:26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</row>
    <row r="838" ht="17.55" spans="1:26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</row>
    <row r="839" ht="17.55" spans="1:26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</row>
    <row r="840" ht="17.55" spans="1:26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</row>
    <row r="841" ht="17.55" spans="1:26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</row>
    <row r="842" ht="17.55" spans="1:26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</row>
    <row r="843" ht="17.55" spans="1:26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</row>
    <row r="844" ht="17.55" spans="1:26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</row>
    <row r="845" ht="17.55" spans="1:26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</row>
    <row r="846" ht="17.55" spans="1:2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</row>
    <row r="847" ht="17.55" spans="1:26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</row>
    <row r="848" ht="17.55" spans="1:26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</row>
    <row r="849" ht="17.55" spans="1:26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</row>
    <row r="850" ht="17.55" spans="1:26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</row>
    <row r="851" ht="17.55" spans="1:26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</row>
    <row r="852" ht="17.55" spans="1:26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</row>
    <row r="853" ht="17.55" spans="1:26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</row>
    <row r="854" ht="17.55" spans="1:26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</row>
    <row r="855" ht="17.55" spans="1:26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</row>
    <row r="856" ht="17.55" spans="1:2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</row>
    <row r="857" ht="17.55" spans="1:26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</row>
    <row r="858" ht="17.55" spans="1:26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</row>
    <row r="859" ht="17.55" spans="1:26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</row>
    <row r="860" ht="17.55" spans="1:26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</row>
    <row r="861" ht="17.55" spans="1:26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</row>
    <row r="862" ht="17.55" spans="1:26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</row>
    <row r="863" ht="17.55" spans="1:26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</row>
    <row r="864" ht="17.55" spans="1:26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</row>
    <row r="865" ht="17.55" spans="1:26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</row>
    <row r="866" ht="17.55" spans="1:2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</row>
    <row r="867" ht="17.55" spans="1:26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</row>
    <row r="868" ht="17.55" spans="1:26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</row>
    <row r="869" ht="17.55" spans="1:26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</row>
    <row r="870" ht="17.55" spans="1:26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</row>
    <row r="871" ht="17.55" spans="1:26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</row>
    <row r="872" ht="17.55" spans="1:26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</row>
    <row r="873" ht="17.55" spans="1:26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</row>
    <row r="874" ht="17.55" spans="1:26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</row>
    <row r="875" ht="17.55" spans="1:26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</row>
    <row r="876" ht="17.55" spans="1:2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</row>
    <row r="877" ht="17.55" spans="1:26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</row>
    <row r="878" ht="17.55" spans="1:26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</row>
    <row r="879" ht="17.55" spans="1:26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</row>
    <row r="880" ht="17.55" spans="1:26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</row>
    <row r="881" ht="17.55" spans="1:26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</row>
    <row r="882" ht="17.55" spans="1:26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</row>
    <row r="883" ht="17.55" spans="1:26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</row>
    <row r="884" ht="17.55" spans="1:26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</row>
    <row r="885" ht="17.55" spans="1:26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</row>
    <row r="886" ht="17.55" spans="1:2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</row>
    <row r="887" ht="17.55" spans="1:26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</row>
    <row r="888" ht="17.55" spans="1:26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</row>
    <row r="889" ht="17.55" spans="1:26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</row>
    <row r="890" ht="17.55" spans="1:26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</row>
    <row r="891" ht="17.55" spans="1:26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</row>
    <row r="892" ht="17.55" spans="1:26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</row>
    <row r="893" ht="17.55" spans="1:26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</row>
    <row r="894" ht="17.55" spans="1:26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</row>
    <row r="895" ht="17.55" spans="1:26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</row>
    <row r="896" ht="17.55" spans="1:2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</row>
    <row r="897" ht="17.55" spans="1:26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</row>
    <row r="898" ht="17.55" spans="1:26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</row>
    <row r="899" ht="17.55" spans="1:26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</row>
    <row r="900" ht="17.55" spans="1:26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</row>
    <row r="901" ht="17.55" spans="1:26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</row>
    <row r="902" ht="17.55" spans="1:26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</row>
    <row r="903" ht="17.55" spans="1:26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</row>
    <row r="904" ht="17.55" spans="1:26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</row>
    <row r="905" ht="17.55" spans="1:26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</row>
    <row r="906" ht="17.55" spans="1:2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</row>
    <row r="907" ht="17.55" spans="1:26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</row>
    <row r="908" ht="17.55" spans="1:26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</row>
    <row r="909" ht="17.55" spans="1:26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</row>
    <row r="910" ht="17.55" spans="1:26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</row>
    <row r="911" ht="17.55" spans="1:26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</row>
    <row r="912" ht="17.55" spans="1:26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</row>
    <row r="913" ht="17.55" spans="1:26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</row>
    <row r="914" ht="17.55" spans="1:26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</row>
    <row r="915" ht="17.55" spans="1:26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</row>
    <row r="916" ht="17.55" spans="1:2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</row>
    <row r="917" ht="17.55" spans="1:26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</row>
    <row r="918" ht="17.55" spans="1:26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</row>
    <row r="919" ht="17.55" spans="1:26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</row>
    <row r="920" ht="17.55" spans="1:26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</row>
    <row r="921" ht="17.55" spans="1:26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</row>
    <row r="922" ht="17.55" spans="1:26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</row>
    <row r="923" ht="17.55" spans="1:26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</row>
    <row r="924" ht="17.55" spans="1:26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</row>
    <row r="925" ht="17.55" spans="1:26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</row>
    <row r="926" ht="17.55" spans="1: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</row>
    <row r="927" ht="17.55" spans="1:26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</row>
    <row r="928" ht="17.55" spans="1:26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</row>
    <row r="929" ht="17.55" spans="1:26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</row>
    <row r="930" ht="17.55" spans="1:26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</row>
    <row r="931" ht="17.55" spans="1:26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</row>
    <row r="932" ht="17.55" spans="1:26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</row>
    <row r="933" ht="17.55" spans="1:26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</row>
    <row r="934" ht="17.55" spans="1:26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</row>
    <row r="935" ht="17.55" spans="1:26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</row>
    <row r="936" ht="17.55" spans="1:2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</row>
    <row r="937" ht="17.55" spans="1:26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</row>
    <row r="938" ht="17.55" spans="1:26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</row>
    <row r="939" ht="17.55" spans="1:26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</row>
    <row r="940" ht="17.55" spans="1:26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</row>
    <row r="941" ht="17.55" spans="1:26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</row>
    <row r="942" ht="17.55" spans="1:26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</row>
    <row r="943" ht="17.55" spans="1:26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</row>
    <row r="944" ht="17.55" spans="1:26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</row>
    <row r="945" ht="17.55" spans="1:26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</row>
    <row r="946" ht="17.55" spans="1:2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</row>
    <row r="947" ht="17.55" spans="1:26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</row>
    <row r="948" ht="17.55" spans="1:26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</row>
    <row r="949" ht="17.55" spans="1:26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</row>
    <row r="950" ht="17.55" spans="1:26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</row>
    <row r="951" ht="17.55" spans="1:26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</row>
    <row r="952" ht="17.55" spans="1:26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</row>
    <row r="953" ht="17.55" spans="1:26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</row>
    <row r="954" ht="17.55" spans="1:26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</row>
    <row r="955" ht="17.55" spans="1:26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</row>
    <row r="956" ht="17.55" spans="1:2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</row>
    <row r="957" ht="17.55" spans="1:26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</row>
    <row r="958" ht="17.55" spans="1:26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</row>
    <row r="959" ht="17.55" spans="1:26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</row>
    <row r="960" ht="17.55" spans="1:26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</row>
    <row r="961" ht="17.55" spans="1:26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</row>
    <row r="962" ht="17.55" spans="1:26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</row>
    <row r="963" ht="17.55" spans="1:26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</row>
    <row r="964" ht="17.55" spans="1:26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</row>
    <row r="965" ht="17.55" spans="1:26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</row>
    <row r="966" ht="17.55" spans="1:2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</row>
    <row r="967" ht="17.55" spans="1:26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</row>
    <row r="968" ht="17.55" spans="1:26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</row>
    <row r="969" ht="17.55" spans="1:26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</row>
    <row r="970" ht="17.55" spans="1:26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</row>
    <row r="971" ht="17.55" spans="1:26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</row>
    <row r="972" ht="17.55" spans="1:26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</row>
    <row r="973" ht="17.55" spans="1:26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</row>
    <row r="974" ht="17.55" spans="1:26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</row>
    <row r="975" ht="17.55" spans="1:26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</row>
    <row r="976" ht="17.55" spans="1:2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</row>
    <row r="977" ht="17.55" spans="1:26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</row>
    <row r="978" ht="17.55" spans="1:26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</row>
    <row r="979" ht="17.55" spans="1:26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</row>
    <row r="980" ht="17.55" spans="1:26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</row>
    <row r="981" ht="17.55" spans="1:26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</row>
    <row r="982" ht="17.55" spans="1:26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</row>
    <row r="983" ht="17.55" spans="1:26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</row>
    <row r="984" ht="17.55" spans="1:26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</row>
    <row r="985" ht="17.55" spans="1:26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</row>
    <row r="986" ht="17.55" spans="1:2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</row>
    <row r="987" ht="17.55" spans="1:26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</row>
    <row r="988" ht="17.55" spans="1:26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</row>
    <row r="989" ht="17.55" spans="1:26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</row>
    <row r="990" ht="17.55" spans="1:26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</row>
    <row r="991" ht="17.55" spans="1:26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</row>
    <row r="992" ht="17.55" spans="1:26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</row>
    <row r="993" ht="17.55" spans="1:26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</row>
    <row r="994" ht="17.55" spans="1:26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</row>
    <row r="995" ht="17.55" spans="1:26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</row>
    <row r="996" ht="17.55" spans="1:26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</row>
    <row r="997" ht="17.55" spans="1:26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</row>
    <row r="998" ht="17.55" spans="1:26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</row>
    <row r="999" ht="17.55" spans="1:26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</row>
    <row r="1000" ht="17.55" spans="1:26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</row>
    <row r="1001" ht="17.55" spans="1:26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</row>
    <row r="1002" ht="17.55" spans="1:26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</row>
    <row r="1003" ht="17.55" spans="1:26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</row>
    <row r="1004" ht="17.55" spans="1:26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</row>
    <row r="1005" ht="17.55" spans="1:26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</row>
    <row r="1006" ht="17.55" spans="1:26">
      <c r="A1006" s="39"/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</row>
    <row r="1007" ht="17.55" spans="1:26">
      <c r="A1007" s="39"/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</row>
    <row r="1008" ht="17.55" spans="1:26">
      <c r="A1008" s="39"/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</row>
    <row r="1009" ht="17.55" spans="1:26">
      <c r="A1009" s="39"/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</row>
    <row r="1010" ht="17.55" spans="1:26">
      <c r="A1010" s="39"/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</row>
    <row r="1011" ht="17.55" spans="1:26">
      <c r="A1011" s="39"/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</row>
    <row r="1012" ht="17.55" spans="1:26">
      <c r="A1012" s="39"/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</row>
    <row r="1013" ht="17.55" spans="1:26">
      <c r="A1013" s="39"/>
      <c r="B1013" s="39"/>
      <c r="C1013" s="39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</row>
    <row r="1014" ht="17.55" spans="1:26">
      <c r="A1014" s="39"/>
      <c r="B1014" s="39"/>
      <c r="C1014" s="39"/>
      <c r="D1014" s="39"/>
      <c r="E1014" s="39"/>
      <c r="F1014" s="39"/>
      <c r="G1014" s="39"/>
      <c r="H1014" s="39"/>
      <c r="I1014" s="39"/>
      <c r="J1014" s="39"/>
      <c r="K1014" s="39"/>
      <c r="L1014" s="39"/>
      <c r="M1014" s="39"/>
      <c r="N1014" s="39"/>
      <c r="O1014" s="39"/>
      <c r="P1014" s="39"/>
      <c r="Q1014" s="39"/>
      <c r="R1014" s="39"/>
      <c r="S1014" s="39"/>
      <c r="T1014" s="39"/>
      <c r="U1014" s="39"/>
      <c r="V1014" s="39"/>
      <c r="W1014" s="39"/>
      <c r="X1014" s="39"/>
      <c r="Y1014" s="39"/>
      <c r="Z1014" s="39"/>
    </row>
    <row r="1015" ht="17.55" spans="1:26">
      <c r="A1015" s="39"/>
      <c r="B1015" s="39"/>
      <c r="C1015" s="39"/>
      <c r="D1015" s="39"/>
      <c r="E1015" s="39"/>
      <c r="F1015" s="39"/>
      <c r="G1015" s="39"/>
      <c r="H1015" s="39"/>
      <c r="I1015" s="39"/>
      <c r="J1015" s="39"/>
      <c r="K1015" s="39"/>
      <c r="L1015" s="39"/>
      <c r="M1015" s="39"/>
      <c r="N1015" s="39"/>
      <c r="O1015" s="39"/>
      <c r="P1015" s="39"/>
      <c r="Q1015" s="39"/>
      <c r="R1015" s="39"/>
      <c r="S1015" s="39"/>
      <c r="T1015" s="39"/>
      <c r="U1015" s="39"/>
      <c r="V1015" s="39"/>
      <c r="W1015" s="39"/>
      <c r="X1015" s="39"/>
      <c r="Y1015" s="39"/>
      <c r="Z1015" s="39"/>
    </row>
    <row r="1016" ht="17.55" spans="1:26">
      <c r="A1016" s="39"/>
      <c r="B1016" s="39"/>
      <c r="C1016" s="39"/>
      <c r="D1016" s="39"/>
      <c r="E1016" s="39"/>
      <c r="F1016" s="39"/>
      <c r="G1016" s="39"/>
      <c r="H1016" s="39"/>
      <c r="I1016" s="39"/>
      <c r="J1016" s="39"/>
      <c r="K1016" s="39"/>
      <c r="L1016" s="39"/>
      <c r="M1016" s="39"/>
      <c r="N1016" s="39"/>
      <c r="O1016" s="39"/>
      <c r="P1016" s="39"/>
      <c r="Q1016" s="39"/>
      <c r="R1016" s="39"/>
      <c r="S1016" s="39"/>
      <c r="T1016" s="39"/>
      <c r="U1016" s="39"/>
      <c r="V1016" s="39"/>
      <c r="W1016" s="39"/>
      <c r="X1016" s="39"/>
      <c r="Y1016" s="39"/>
      <c r="Z1016" s="39"/>
    </row>
    <row r="1017" ht="17.55" spans="1:26">
      <c r="A1017" s="39"/>
      <c r="B1017" s="39"/>
      <c r="C1017" s="39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  <c r="S1017" s="39"/>
      <c r="T1017" s="39"/>
      <c r="U1017" s="39"/>
      <c r="V1017" s="39"/>
      <c r="W1017" s="39"/>
      <c r="X1017" s="39"/>
      <c r="Y1017" s="39"/>
      <c r="Z1017" s="39"/>
    </row>
    <row r="1018" ht="17.55" spans="1:26">
      <c r="A1018" s="39"/>
      <c r="B1018" s="39"/>
      <c r="C1018" s="39"/>
      <c r="D1018" s="39"/>
      <c r="E1018" s="39"/>
      <c r="F1018" s="39"/>
      <c r="G1018" s="39"/>
      <c r="H1018" s="39"/>
      <c r="I1018" s="39"/>
      <c r="J1018" s="39"/>
      <c r="K1018" s="39"/>
      <c r="L1018" s="39"/>
      <c r="M1018" s="39"/>
      <c r="N1018" s="39"/>
      <c r="O1018" s="39"/>
      <c r="P1018" s="39"/>
      <c r="Q1018" s="39"/>
      <c r="R1018" s="39"/>
      <c r="S1018" s="39"/>
      <c r="T1018" s="39"/>
      <c r="U1018" s="39"/>
      <c r="V1018" s="39"/>
      <c r="W1018" s="39"/>
      <c r="X1018" s="39"/>
      <c r="Y1018" s="39"/>
      <c r="Z1018" s="39"/>
    </row>
    <row r="1019" ht="17.55" spans="1:26">
      <c r="A1019" s="39"/>
      <c r="B1019" s="39"/>
      <c r="C1019" s="39"/>
      <c r="D1019" s="39"/>
      <c r="E1019" s="39"/>
      <c r="F1019" s="39"/>
      <c r="G1019" s="39"/>
      <c r="H1019" s="39"/>
      <c r="I1019" s="39"/>
      <c r="J1019" s="39"/>
      <c r="K1019" s="39"/>
      <c r="L1019" s="39"/>
      <c r="M1019" s="39"/>
      <c r="N1019" s="39"/>
      <c r="O1019" s="39"/>
      <c r="P1019" s="39"/>
      <c r="Q1019" s="39"/>
      <c r="R1019" s="39"/>
      <c r="S1019" s="39"/>
      <c r="T1019" s="39"/>
      <c r="U1019" s="39"/>
      <c r="V1019" s="39"/>
      <c r="W1019" s="39"/>
      <c r="X1019" s="39"/>
      <c r="Y1019" s="39"/>
      <c r="Z1019" s="39"/>
    </row>
    <row r="1020" ht="17.55" spans="1:26">
      <c r="A1020" s="39"/>
      <c r="B1020" s="39"/>
      <c r="C1020" s="39"/>
      <c r="D1020" s="39"/>
      <c r="E1020" s="39"/>
      <c r="F1020" s="39"/>
      <c r="G1020" s="39"/>
      <c r="H1020" s="39"/>
      <c r="I1020" s="39"/>
      <c r="J1020" s="39"/>
      <c r="K1020" s="39"/>
      <c r="L1020" s="39"/>
      <c r="M1020" s="39"/>
      <c r="N1020" s="39"/>
      <c r="O1020" s="39"/>
      <c r="P1020" s="39"/>
      <c r="Q1020" s="39"/>
      <c r="R1020" s="39"/>
      <c r="S1020" s="39"/>
      <c r="T1020" s="39"/>
      <c r="U1020" s="39"/>
      <c r="V1020" s="39"/>
      <c r="W1020" s="39"/>
      <c r="X1020" s="39"/>
      <c r="Y1020" s="39"/>
      <c r="Z1020" s="39"/>
    </row>
    <row r="1021" ht="17.55" spans="1:26">
      <c r="A1021" s="39"/>
      <c r="B1021" s="39"/>
      <c r="C1021" s="39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  <c r="S1021" s="39"/>
      <c r="T1021" s="39"/>
      <c r="U1021" s="39"/>
      <c r="V1021" s="39"/>
      <c r="W1021" s="39"/>
      <c r="X1021" s="39"/>
      <c r="Y1021" s="39"/>
      <c r="Z1021" s="39"/>
    </row>
    <row r="1022" ht="17.55" spans="1:26">
      <c r="A1022" s="39"/>
      <c r="B1022" s="39"/>
      <c r="C1022" s="39"/>
      <c r="D1022" s="39"/>
      <c r="E1022" s="39"/>
      <c r="F1022" s="39"/>
      <c r="G1022" s="39"/>
      <c r="H1022" s="39"/>
      <c r="I1022" s="39"/>
      <c r="J1022" s="39"/>
      <c r="K1022" s="39"/>
      <c r="L1022" s="39"/>
      <c r="M1022" s="39"/>
      <c r="N1022" s="39"/>
      <c r="O1022" s="39"/>
      <c r="P1022" s="39"/>
      <c r="Q1022" s="39"/>
      <c r="R1022" s="39"/>
      <c r="S1022" s="39"/>
      <c r="T1022" s="39"/>
      <c r="U1022" s="39"/>
      <c r="V1022" s="39"/>
      <c r="W1022" s="39"/>
      <c r="X1022" s="39"/>
      <c r="Y1022" s="39"/>
      <c r="Z1022" s="39"/>
    </row>
    <row r="1023" ht="17.55" spans="1:26">
      <c r="A1023" s="39"/>
      <c r="B1023" s="39"/>
      <c r="C1023" s="39"/>
      <c r="D1023" s="39"/>
      <c r="E1023" s="39"/>
      <c r="F1023" s="39"/>
      <c r="G1023" s="39"/>
      <c r="H1023" s="39"/>
      <c r="I1023" s="39"/>
      <c r="J1023" s="39"/>
      <c r="K1023" s="39"/>
      <c r="L1023" s="39"/>
      <c r="M1023" s="39"/>
      <c r="N1023" s="39"/>
      <c r="O1023" s="39"/>
      <c r="P1023" s="39"/>
      <c r="Q1023" s="39"/>
      <c r="R1023" s="39"/>
      <c r="S1023" s="39"/>
      <c r="T1023" s="39"/>
      <c r="U1023" s="39"/>
      <c r="V1023" s="39"/>
      <c r="W1023" s="39"/>
      <c r="X1023" s="39"/>
      <c r="Y1023" s="39"/>
      <c r="Z1023" s="39"/>
    </row>
    <row r="1024" ht="17.55" spans="1:26">
      <c r="A1024" s="39"/>
      <c r="B1024" s="39"/>
      <c r="C1024" s="39"/>
      <c r="D1024" s="39"/>
      <c r="E1024" s="39"/>
      <c r="F1024" s="39"/>
      <c r="G1024" s="39"/>
      <c r="H1024" s="39"/>
      <c r="I1024" s="39"/>
      <c r="J1024" s="39"/>
      <c r="K1024" s="39"/>
      <c r="L1024" s="39"/>
      <c r="M1024" s="39"/>
      <c r="N1024" s="39"/>
      <c r="O1024" s="39"/>
      <c r="P1024" s="39"/>
      <c r="Q1024" s="39"/>
      <c r="R1024" s="39"/>
      <c r="S1024" s="39"/>
      <c r="T1024" s="39"/>
      <c r="U1024" s="39"/>
      <c r="V1024" s="39"/>
      <c r="W1024" s="39"/>
      <c r="X1024" s="39"/>
      <c r="Y1024" s="39"/>
      <c r="Z1024" s="39"/>
    </row>
    <row r="1025" ht="17.55" spans="6:7">
      <c r="F1025" s="39"/>
      <c r="G1025" s="39"/>
    </row>
  </sheetData>
  <mergeCells count="6">
    <mergeCell ref="A4:G4"/>
    <mergeCell ref="B7:C7"/>
    <mergeCell ref="A15:B15"/>
    <mergeCell ref="A8:A10"/>
    <mergeCell ref="A11:A14"/>
    <mergeCell ref="A56:A58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Z1021"/>
  <sheetViews>
    <sheetView zoomScale="80" zoomScaleNormal="80" workbookViewId="0">
      <selection activeCell="A31" sqref="A31"/>
    </sheetView>
  </sheetViews>
  <sheetFormatPr defaultColWidth="8.88888888888889" defaultRowHeight="14.4"/>
  <cols>
    <col min="1" max="1" width="45" style="1" customWidth="1"/>
    <col min="2" max="2" width="70.8888888888889" style="1" customWidth="1"/>
    <col min="3" max="3" width="26.6666666666667" style="1" customWidth="1"/>
    <col min="4" max="4" width="18.1111111111111" style="1" customWidth="1"/>
    <col min="5" max="5" width="17.5555555555556" style="1" customWidth="1"/>
    <col min="6" max="7" width="11.6666666666667" style="1" customWidth="1"/>
    <col min="8" max="16384" width="8.88888888888889" style="1"/>
  </cols>
  <sheetData>
    <row r="3" s="1" customFormat="1" ht="15.15"/>
    <row r="4" s="2" customFormat="1" ht="40.95" customHeight="1" spans="1:26">
      <c r="A4" s="3" t="s">
        <v>91</v>
      </c>
      <c r="B4" s="4"/>
      <c r="C4" s="4"/>
      <c r="D4" s="4"/>
      <c r="E4" s="4"/>
      <c r="F4" s="4"/>
      <c r="G4" s="5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s="1" customFormat="1" ht="17.55" spans="1:26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="1" customFormat="1" ht="17.55" spans="1:26">
      <c r="A6" s="8"/>
      <c r="B6" s="8"/>
      <c r="C6" s="8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="1" customFormat="1" ht="16.95" customHeight="1" spans="1:26">
      <c r="A7" s="9" t="s">
        <v>1</v>
      </c>
      <c r="B7" s="10" t="s">
        <v>2</v>
      </c>
      <c r="C7" s="11"/>
      <c r="D7" s="12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="1" customFormat="1" ht="16.95" customHeight="1" spans="1:26">
      <c r="A8" s="13" t="s">
        <v>3</v>
      </c>
      <c r="B8" s="14" t="s">
        <v>4</v>
      </c>
      <c r="C8" s="15">
        <v>1526</v>
      </c>
      <c r="D8" s="12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="1" customFormat="1" ht="16.95" customHeight="1" spans="1:26">
      <c r="A9" s="13"/>
      <c r="B9" s="16" t="s">
        <v>5</v>
      </c>
      <c r="C9" s="17">
        <v>5</v>
      </c>
      <c r="D9" s="12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="1" customFormat="1" ht="16.95" customHeight="1" spans="1:26">
      <c r="A10" s="13"/>
      <c r="B10" s="9" t="s">
        <v>6</v>
      </c>
      <c r="C10" s="18">
        <f>SUM(C8,C9)</f>
        <v>1531</v>
      </c>
      <c r="D10" s="12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="1" customFormat="1" ht="16.95" customHeight="1" spans="1:26">
      <c r="A11" s="13" t="s">
        <v>7</v>
      </c>
      <c r="B11" s="19" t="s">
        <v>8</v>
      </c>
      <c r="C11" s="20">
        <v>0</v>
      </c>
      <c r="D11" s="12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="1" customFormat="1" ht="16.95" customHeight="1" spans="1:26">
      <c r="A12" s="13"/>
      <c r="B12" s="19" t="s">
        <v>9</v>
      </c>
      <c r="C12" s="20">
        <v>0</v>
      </c>
      <c r="D12" s="12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="1" customFormat="1" ht="16.95" customHeight="1" spans="1:26">
      <c r="A13" s="13"/>
      <c r="B13" s="19" t="s">
        <v>10</v>
      </c>
      <c r="C13" s="20">
        <v>0</v>
      </c>
      <c r="D13" s="12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="1" customFormat="1" ht="16.95" customHeight="1" spans="1:26">
      <c r="A14" s="13"/>
      <c r="B14" s="9" t="s">
        <v>11</v>
      </c>
      <c r="C14" s="18">
        <v>1526</v>
      </c>
      <c r="D14" s="12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="1" customFormat="1" ht="16.95" customHeight="1" spans="1:26">
      <c r="A15" s="21" t="s">
        <v>12</v>
      </c>
      <c r="B15" s="21"/>
      <c r="C15" s="18">
        <f>SUM(C10,C14)</f>
        <v>3057</v>
      </c>
      <c r="D15" s="12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="1" customFormat="1" ht="17.55" spans="1:26">
      <c r="A16" s="22"/>
      <c r="B16" s="22"/>
      <c r="C16" s="22"/>
      <c r="D16" s="8"/>
      <c r="E16" s="8"/>
      <c r="F16" s="8"/>
      <c r="G16" s="8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="1" customFormat="1" ht="16.95" customHeight="1" spans="1:26">
      <c r="A17" s="23" t="s">
        <v>13</v>
      </c>
      <c r="B17" s="23" t="s">
        <v>14</v>
      </c>
      <c r="C17" s="23" t="s">
        <v>15</v>
      </c>
      <c r="D17" s="23" t="s">
        <v>16</v>
      </c>
      <c r="E17" s="23" t="s">
        <v>17</v>
      </c>
      <c r="F17" s="23" t="s">
        <v>18</v>
      </c>
      <c r="G17" s="23" t="s">
        <v>19</v>
      </c>
      <c r="H17" s="12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="1" customFormat="1" ht="16.95" customHeight="1" spans="1:26">
      <c r="A18" s="24" t="s">
        <v>92</v>
      </c>
      <c r="B18" s="25" t="s">
        <v>93</v>
      </c>
      <c r="C18" s="26">
        <v>1</v>
      </c>
      <c r="D18" s="26">
        <v>1</v>
      </c>
      <c r="E18" s="20">
        <v>0</v>
      </c>
      <c r="F18" s="19">
        <v>3</v>
      </c>
      <c r="G18" s="19"/>
      <c r="H18" s="12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="1" customFormat="1" ht="16.95" customHeight="1" spans="1:26">
      <c r="A19" s="24" t="s">
        <v>94</v>
      </c>
      <c r="B19" s="25" t="s">
        <v>95</v>
      </c>
      <c r="C19" s="26">
        <v>1</v>
      </c>
      <c r="D19" s="26">
        <v>1</v>
      </c>
      <c r="E19" s="20">
        <v>0</v>
      </c>
      <c r="F19" s="19">
        <v>3</v>
      </c>
      <c r="G19" s="19"/>
      <c r="H19" s="12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="1" customFormat="1" ht="16.95" customHeight="1" spans="1:26">
      <c r="A20" s="24" t="s">
        <v>96</v>
      </c>
      <c r="B20" s="25" t="s">
        <v>97</v>
      </c>
      <c r="C20" s="26">
        <v>1</v>
      </c>
      <c r="D20" s="26">
        <v>1</v>
      </c>
      <c r="E20" s="20">
        <v>0</v>
      </c>
      <c r="F20" s="19">
        <v>3</v>
      </c>
      <c r="G20" s="19"/>
      <c r="H20" s="12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="1" customFormat="1" ht="16.95" customHeight="1" spans="1:26">
      <c r="A21" s="24" t="s">
        <v>98</v>
      </c>
      <c r="B21" s="25" t="s">
        <v>99</v>
      </c>
      <c r="C21" s="26">
        <v>1</v>
      </c>
      <c r="D21" s="26">
        <v>1</v>
      </c>
      <c r="E21" s="20">
        <v>0</v>
      </c>
      <c r="F21" s="19">
        <v>3</v>
      </c>
      <c r="G21" s="19"/>
      <c r="H21" s="12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="1" customFormat="1" ht="16.95" customHeight="1" spans="1:26">
      <c r="A22" s="24" t="s">
        <v>100</v>
      </c>
      <c r="B22" s="25" t="s">
        <v>101</v>
      </c>
      <c r="C22" s="26">
        <v>1</v>
      </c>
      <c r="D22" s="26">
        <v>1</v>
      </c>
      <c r="E22" s="20">
        <v>0</v>
      </c>
      <c r="F22" s="19">
        <v>3</v>
      </c>
      <c r="G22" s="19"/>
      <c r="H22" s="12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="1" customFormat="1" ht="16.95" customHeight="1" spans="1:26">
      <c r="A23" s="27" t="s">
        <v>102</v>
      </c>
      <c r="B23" s="25" t="s">
        <v>103</v>
      </c>
      <c r="C23" s="26">
        <v>1</v>
      </c>
      <c r="D23" s="26">
        <v>1</v>
      </c>
      <c r="E23" s="20">
        <v>0</v>
      </c>
      <c r="F23" s="19">
        <v>2</v>
      </c>
      <c r="G23" s="19"/>
      <c r="H23" s="12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="1" customFormat="1" ht="16.95" customHeight="1" spans="1:26">
      <c r="A24" s="27" t="s">
        <v>104</v>
      </c>
      <c r="B24" s="25" t="s">
        <v>105</v>
      </c>
      <c r="C24" s="26">
        <v>1</v>
      </c>
      <c r="D24" s="26">
        <v>1</v>
      </c>
      <c r="E24" s="20">
        <v>0</v>
      </c>
      <c r="F24" s="19">
        <v>2</v>
      </c>
      <c r="G24" s="19"/>
      <c r="H24" s="12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="1" customFormat="1" ht="16.95" customHeight="1" spans="1:26">
      <c r="A25" s="27" t="s">
        <v>106</v>
      </c>
      <c r="B25" s="25" t="s">
        <v>107</v>
      </c>
      <c r="C25" s="26">
        <v>1</v>
      </c>
      <c r="D25" s="26">
        <v>1</v>
      </c>
      <c r="E25" s="20">
        <v>0</v>
      </c>
      <c r="F25" s="19">
        <v>3</v>
      </c>
      <c r="G25" s="19"/>
      <c r="H25" s="12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="1" customFormat="1" ht="16.95" customHeight="1" spans="1:26">
      <c r="A26" s="24" t="s">
        <v>108</v>
      </c>
      <c r="B26" s="25" t="s">
        <v>109</v>
      </c>
      <c r="C26" s="26">
        <v>1</v>
      </c>
      <c r="D26" s="26">
        <v>1</v>
      </c>
      <c r="E26" s="20">
        <v>0</v>
      </c>
      <c r="F26" s="19">
        <v>2</v>
      </c>
      <c r="G26" s="19"/>
      <c r="H26" s="12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="1" customFormat="1" ht="16.95" customHeight="1" spans="1:26">
      <c r="A27" s="24" t="s">
        <v>110</v>
      </c>
      <c r="B27" s="25" t="s">
        <v>111</v>
      </c>
      <c r="C27" s="26">
        <v>1</v>
      </c>
      <c r="D27" s="26">
        <f>(97/98)*100%</f>
        <v>0.989795918367347</v>
      </c>
      <c r="E27" s="20">
        <v>0</v>
      </c>
      <c r="F27" s="19">
        <v>3</v>
      </c>
      <c r="G27" s="19"/>
      <c r="H27" s="12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="1" customFormat="1" ht="16.95" customHeight="1" spans="1:26">
      <c r="A28" s="24" t="s">
        <v>112</v>
      </c>
      <c r="B28" s="25" t="s">
        <v>113</v>
      </c>
      <c r="C28" s="26">
        <v>1</v>
      </c>
      <c r="D28" s="26">
        <v>1</v>
      </c>
      <c r="E28" s="20">
        <v>0</v>
      </c>
      <c r="F28" s="19">
        <v>2</v>
      </c>
      <c r="G28" s="19"/>
      <c r="H28" s="12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="1" customFormat="1" ht="16.95" customHeight="1" spans="1:26">
      <c r="A29" s="24" t="s">
        <v>114</v>
      </c>
      <c r="B29" s="25" t="s">
        <v>115</v>
      </c>
      <c r="C29" s="26">
        <v>1</v>
      </c>
      <c r="D29" s="26">
        <v>1</v>
      </c>
      <c r="E29" s="20">
        <v>0</v>
      </c>
      <c r="F29" s="19">
        <v>3</v>
      </c>
      <c r="G29" s="19"/>
      <c r="H29" s="12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="1" customFormat="1" ht="16.95" customHeight="1" spans="1:26">
      <c r="A30" s="27" t="s">
        <v>116</v>
      </c>
      <c r="B30" s="25" t="s">
        <v>117</v>
      </c>
      <c r="C30" s="26">
        <v>1</v>
      </c>
      <c r="D30" s="26">
        <v>1</v>
      </c>
      <c r="E30" s="20">
        <v>0</v>
      </c>
      <c r="F30" s="19">
        <v>2</v>
      </c>
      <c r="G30" s="19"/>
      <c r="H30" s="12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="1" customFormat="1" ht="16.95" customHeight="1" spans="1:26">
      <c r="A31" s="24" t="s">
        <v>118</v>
      </c>
      <c r="B31" s="25" t="s">
        <v>119</v>
      </c>
      <c r="C31" s="26">
        <v>1</v>
      </c>
      <c r="D31" s="26">
        <v>1</v>
      </c>
      <c r="E31" s="20">
        <v>0</v>
      </c>
      <c r="F31" s="19">
        <v>2</v>
      </c>
      <c r="G31" s="19"/>
      <c r="H31" s="12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="1" customFormat="1" ht="16.95" customHeight="1" spans="1:26">
      <c r="A32" s="24" t="s">
        <v>120</v>
      </c>
      <c r="B32" s="25" t="s">
        <v>121</v>
      </c>
      <c r="C32" s="26">
        <v>1</v>
      </c>
      <c r="D32" s="26">
        <v>1</v>
      </c>
      <c r="E32" s="20">
        <v>0</v>
      </c>
      <c r="F32" s="19">
        <v>2</v>
      </c>
      <c r="G32" s="19"/>
      <c r="H32" s="12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="1" customFormat="1" ht="16.95" customHeight="1" spans="1:26">
      <c r="A33" s="24" t="s">
        <v>122</v>
      </c>
      <c r="B33" s="25" t="s">
        <v>123</v>
      </c>
      <c r="C33" s="26">
        <v>1</v>
      </c>
      <c r="D33" s="26">
        <v>1</v>
      </c>
      <c r="E33" s="20">
        <v>0</v>
      </c>
      <c r="F33" s="19">
        <v>2</v>
      </c>
      <c r="G33" s="19"/>
      <c r="H33" s="12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="1" customFormat="1" ht="16.95" customHeight="1" spans="1:26">
      <c r="A34" s="24" t="s">
        <v>124</v>
      </c>
      <c r="B34" s="25" t="s">
        <v>125</v>
      </c>
      <c r="C34" s="26">
        <v>1</v>
      </c>
      <c r="D34" s="26">
        <v>1</v>
      </c>
      <c r="E34" s="20">
        <v>0</v>
      </c>
      <c r="F34" s="19">
        <v>2</v>
      </c>
      <c r="G34" s="19"/>
      <c r="H34" s="12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="1" customFormat="1" ht="16.95" customHeight="1" spans="1:26">
      <c r="A35" s="24" t="s">
        <v>126</v>
      </c>
      <c r="B35" s="25" t="s">
        <v>127</v>
      </c>
      <c r="C35" s="26">
        <v>1</v>
      </c>
      <c r="D35" s="26">
        <v>1</v>
      </c>
      <c r="E35" s="20">
        <v>0</v>
      </c>
      <c r="F35" s="19">
        <v>2</v>
      </c>
      <c r="G35" s="19"/>
      <c r="H35" s="12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="1" customFormat="1" ht="16.95" customHeight="1" spans="1:26">
      <c r="A36" s="24" t="s">
        <v>128</v>
      </c>
      <c r="B36" s="25" t="s">
        <v>129</v>
      </c>
      <c r="C36" s="26">
        <v>1</v>
      </c>
      <c r="D36" s="26">
        <v>1</v>
      </c>
      <c r="E36" s="20">
        <v>0</v>
      </c>
      <c r="F36" s="19">
        <v>2</v>
      </c>
      <c r="G36" s="19"/>
      <c r="H36" s="12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="1" customFormat="1" ht="16.95" customHeight="1" spans="1:26">
      <c r="A37" s="27" t="s">
        <v>130</v>
      </c>
      <c r="B37" s="25" t="s">
        <v>131</v>
      </c>
      <c r="C37" s="26">
        <v>1</v>
      </c>
      <c r="D37" s="26">
        <v>1</v>
      </c>
      <c r="E37" s="20">
        <v>0</v>
      </c>
      <c r="F37" s="19">
        <v>2</v>
      </c>
      <c r="G37" s="19"/>
      <c r="H37" s="12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="1" customFormat="1" ht="16.95" customHeight="1" spans="1:26">
      <c r="A38" s="27" t="s">
        <v>132</v>
      </c>
      <c r="B38" s="25" t="s">
        <v>133</v>
      </c>
      <c r="C38" s="26">
        <v>1</v>
      </c>
      <c r="D38" s="26">
        <f>(112/115)*100%</f>
        <v>0.973913043478261</v>
      </c>
      <c r="E38" s="20">
        <v>0</v>
      </c>
      <c r="F38" s="19">
        <v>2</v>
      </c>
      <c r="G38" s="19"/>
      <c r="H38" s="12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="1" customFormat="1" ht="16.95" customHeight="1" spans="1:26">
      <c r="A39" s="24" t="s">
        <v>134</v>
      </c>
      <c r="B39" s="25" t="s">
        <v>135</v>
      </c>
      <c r="C39" s="26">
        <v>1</v>
      </c>
      <c r="D39" s="26">
        <v>1</v>
      </c>
      <c r="E39" s="20">
        <v>0</v>
      </c>
      <c r="F39" s="19">
        <v>2</v>
      </c>
      <c r="G39" s="19"/>
      <c r="H39" s="12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="1" customFormat="1" ht="16.95" customHeight="1" spans="1:26">
      <c r="A40" s="24" t="s">
        <v>136</v>
      </c>
      <c r="B40" s="25" t="s">
        <v>137</v>
      </c>
      <c r="C40" s="26">
        <v>1</v>
      </c>
      <c r="D40" s="26">
        <v>1</v>
      </c>
      <c r="E40" s="20">
        <v>0</v>
      </c>
      <c r="F40" s="19">
        <v>2</v>
      </c>
      <c r="G40" s="19"/>
      <c r="H40" s="12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="1" customFormat="1" ht="16.95" customHeight="1" spans="1:26">
      <c r="A41" s="24" t="s">
        <v>138</v>
      </c>
      <c r="B41" s="25" t="s">
        <v>139</v>
      </c>
      <c r="C41" s="26">
        <v>1</v>
      </c>
      <c r="D41" s="26">
        <v>1</v>
      </c>
      <c r="E41" s="20">
        <v>0</v>
      </c>
      <c r="F41" s="19">
        <v>2</v>
      </c>
      <c r="G41" s="19"/>
      <c r="H41" s="12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="1" customFormat="1" ht="16.95" customHeight="1" spans="1:26">
      <c r="A42" s="24" t="s">
        <v>140</v>
      </c>
      <c r="B42" s="25" t="s">
        <v>141</v>
      </c>
      <c r="C42" s="26">
        <v>1</v>
      </c>
      <c r="D42" s="26">
        <v>1</v>
      </c>
      <c r="E42" s="20">
        <v>0</v>
      </c>
      <c r="F42" s="19">
        <v>2</v>
      </c>
      <c r="G42" s="19"/>
      <c r="H42" s="12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="1" customFormat="1" ht="16.95" customHeight="1" spans="1:26">
      <c r="A43" s="27" t="s">
        <v>142</v>
      </c>
      <c r="B43" s="25" t="s">
        <v>143</v>
      </c>
      <c r="C43" s="26">
        <v>1</v>
      </c>
      <c r="D43" s="26">
        <f>(87/88)*100%</f>
        <v>0.988636363636364</v>
      </c>
      <c r="E43" s="20">
        <v>0</v>
      </c>
      <c r="F43" s="19">
        <v>2</v>
      </c>
      <c r="G43" s="19"/>
      <c r="H43" s="12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="1" customFormat="1" ht="16.95" customHeight="1" spans="1:26">
      <c r="A44" s="27" t="s">
        <v>144</v>
      </c>
      <c r="B44" s="25" t="s">
        <v>145</v>
      </c>
      <c r="C44" s="26">
        <v>1</v>
      </c>
      <c r="D44" s="26">
        <v>1</v>
      </c>
      <c r="E44" s="20">
        <v>0</v>
      </c>
      <c r="F44" s="19">
        <v>2</v>
      </c>
      <c r="G44" s="19"/>
      <c r="H44" s="12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="1" customFormat="1" ht="16.95" customHeight="1" spans="1:26">
      <c r="A45" s="24" t="s">
        <v>146</v>
      </c>
      <c r="B45" s="25" t="s">
        <v>147</v>
      </c>
      <c r="C45" s="26">
        <v>1</v>
      </c>
      <c r="D45" s="26">
        <v>1</v>
      </c>
      <c r="E45" s="20">
        <v>0</v>
      </c>
      <c r="F45" s="19">
        <v>2</v>
      </c>
      <c r="G45" s="19"/>
      <c r="H45" s="12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="1" customFormat="1" ht="16.95" customHeight="1" spans="1:26">
      <c r="A46" s="28"/>
      <c r="B46" s="28"/>
      <c r="C46" s="28"/>
      <c r="D46" s="28"/>
      <c r="E46" s="28"/>
      <c r="F46" s="29"/>
      <c r="G46" s="30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="1" customFormat="1" ht="16.95" customHeight="1" spans="1:26">
      <c r="A47" s="28"/>
      <c r="B47" s="28"/>
      <c r="C47" s="28"/>
      <c r="D47" s="28"/>
      <c r="E47" s="28"/>
      <c r="F47" s="29"/>
      <c r="G47" s="30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="1" customFormat="1" ht="16.95" customHeight="1" spans="1:26">
      <c r="A48" s="28"/>
      <c r="B48" s="28"/>
      <c r="C48" s="28"/>
      <c r="D48" s="28"/>
      <c r="E48" s="28"/>
      <c r="F48" s="29"/>
      <c r="G48" s="30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="1" customFormat="1" ht="16.95" customHeight="1" spans="1:26">
      <c r="A49" s="28"/>
      <c r="B49" s="28"/>
      <c r="C49" s="28"/>
      <c r="D49" s="28"/>
      <c r="E49" s="28"/>
      <c r="F49" s="29"/>
      <c r="G49" s="30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="1" customFormat="1" ht="16.95" customHeight="1" spans="1:26">
      <c r="A50" s="23" t="s">
        <v>84</v>
      </c>
      <c r="B50" s="23" t="s">
        <v>14</v>
      </c>
      <c r="C50" s="23" t="s">
        <v>85</v>
      </c>
      <c r="D50" s="23" t="s">
        <v>86</v>
      </c>
      <c r="E50" s="23" t="s">
        <v>18</v>
      </c>
      <c r="F50" s="12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="1" customFormat="1" ht="16.95" customHeight="1" spans="1:26">
      <c r="A51" s="31"/>
      <c r="B51" s="19"/>
      <c r="C51" s="19"/>
      <c r="D51" s="19"/>
      <c r="E51" s="19"/>
      <c r="F51" s="12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="1" customFormat="1" ht="17.55" spans="1:26">
      <c r="A52" s="13" t="s">
        <v>87</v>
      </c>
      <c r="B52" s="32" t="s">
        <v>88</v>
      </c>
      <c r="C52" s="33">
        <v>0</v>
      </c>
      <c r="D52" s="19"/>
      <c r="E52" s="19"/>
      <c r="F52" s="12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="1" customFormat="1" ht="17.55" spans="1:26">
      <c r="A53" s="13"/>
      <c r="B53" s="32" t="s">
        <v>89</v>
      </c>
      <c r="C53" s="33">
        <v>28</v>
      </c>
      <c r="D53" s="19"/>
      <c r="E53" s="19"/>
      <c r="F53" s="12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="1" customFormat="1" ht="16.95" customHeight="1" spans="1:26">
      <c r="A54" s="13"/>
      <c r="B54" s="32" t="s">
        <v>90</v>
      </c>
      <c r="C54" s="33">
        <v>28</v>
      </c>
      <c r="D54" s="19"/>
      <c r="E54" s="19"/>
      <c r="F54" s="12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="1" customFormat="1" ht="17.55" spans="1:26">
      <c r="A55" s="30"/>
      <c r="B55" s="30"/>
      <c r="C55" s="30"/>
      <c r="D55" s="30"/>
      <c r="E55" s="30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="1" customFormat="1" ht="17.55" spans="1:2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="1" customFormat="1" ht="17.55" spans="1:26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="1" customFormat="1" ht="17.55" spans="1:26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="1" customFormat="1" ht="17.55" spans="1:26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="1" customFormat="1" ht="17.55" spans="1:26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="1" customFormat="1" ht="17.55" spans="1:26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="1" customFormat="1" ht="17.55" spans="1:26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="1" customFormat="1" ht="17.55" spans="1:26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="1" customFormat="1" ht="17.55" spans="1:26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="1" customFormat="1" ht="17.55" spans="1:26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="1" customFormat="1" ht="17.55" spans="1:2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="1" customFormat="1" ht="17.55" spans="1:26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="1" customFormat="1" ht="17.55" spans="1:26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="1" customFormat="1" ht="17.55" spans="1:26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="1" customFormat="1" ht="17.55" spans="1:26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="1" customFormat="1" ht="17.55" spans="1:26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="1" customFormat="1" ht="17.55" spans="1:26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="1" customFormat="1" ht="17.55" spans="1:26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="1" customFormat="1" ht="17.55" spans="1:26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="1" customFormat="1" ht="17.55" spans="1:26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="1" customFormat="1" ht="17.55" spans="1:2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="1" customFormat="1" ht="17.55" spans="1:26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="1" customFormat="1" ht="17.55" spans="1:26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="1" customFormat="1" ht="17.55" spans="1:26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="1" customFormat="1" ht="17.55" spans="1:26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="1" customFormat="1" ht="17.55" spans="1:26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="1" customFormat="1" ht="17.55" spans="1:26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="1" customFormat="1" ht="17.55" spans="1:26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="1" customFormat="1" ht="17.55" spans="1:26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="1" customFormat="1" ht="17.55" spans="1:26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="1" customFormat="1" ht="17.55" spans="1:2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="1" customFormat="1" ht="17.55" spans="1:26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="1" customFormat="1" ht="17.55" spans="1:26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="1" customFormat="1" ht="17.55" spans="1:26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="1" customFormat="1" ht="17.55" spans="1:26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="1" customFormat="1" ht="17.55" spans="1:26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="1" customFormat="1" ht="17.55" spans="1:26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="1" customFormat="1" ht="17.55" spans="1:26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="1" customFormat="1" ht="17.55" spans="1:26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="1" customFormat="1" ht="17.55" spans="1:26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="1" customFormat="1" ht="17.55" spans="1:2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="1" customFormat="1" ht="17.55" spans="1:26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="1" customFormat="1" ht="17.55" spans="1:26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="1" customFormat="1" ht="17.55" spans="1:26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="1" customFormat="1" ht="17.55" spans="1:26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="1" customFormat="1" ht="17.55" spans="1:26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="1" customFormat="1" ht="17.55" spans="1:26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="1" customFormat="1" ht="17.55" spans="1:26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="1" customFormat="1" ht="17.55" spans="1:26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="1" customFormat="1" ht="17.55" spans="1:26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="1" customFormat="1" ht="17.55" spans="1:2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="1" customFormat="1" ht="17.55" spans="1:26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="1" customFormat="1" ht="17.55" spans="1:26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="1" customFormat="1" ht="17.55" spans="1:26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="1" customFormat="1" ht="17.55" spans="1:26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="1" customFormat="1" ht="17.55" spans="1:26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="1" customFormat="1" ht="17.55" spans="1:26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="1" customFormat="1" ht="17.55" spans="1:26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="1" customFormat="1" ht="17.55" spans="1:26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="1" customFormat="1" ht="17.55" spans="1:26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="1" customFormat="1" ht="17.55" spans="1:2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="1" customFormat="1" ht="17.55" spans="1:26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="1" customFormat="1" ht="17.55" spans="1:26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="1" customFormat="1" ht="17.55" spans="1:26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="1" customFormat="1" ht="17.55" spans="1:26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="1" customFormat="1" ht="17.55" spans="1:26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="1" customFormat="1" ht="17.55" spans="1:26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="1" customFormat="1" ht="17.55" spans="1:26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="1" customFormat="1" ht="17.55" spans="1:26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="1" customFormat="1" ht="17.55" spans="1:26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="1" customFormat="1" ht="17.55" spans="1: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="1" customFormat="1" ht="17.55" spans="1:26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="1" customFormat="1" ht="17.55" spans="1:26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="1" customFormat="1" ht="17.55" spans="1:26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="1" customFormat="1" ht="17.55" spans="1:26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="1" customFormat="1" ht="17.55" spans="1:26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="1" customFormat="1" ht="17.55" spans="1:26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="1" customFormat="1" ht="17.55" spans="1:26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="1" customFormat="1" ht="17.55" spans="1:26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="1" customFormat="1" ht="17.55" spans="1:26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="1" customFormat="1" ht="17.55" spans="1:2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="1" customFormat="1" ht="17.55" spans="1:26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="1" customFormat="1" ht="17.55" spans="1:26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="1" customFormat="1" ht="17.55" spans="1:26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="1" customFormat="1" ht="17.55" spans="1:26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="1" customFormat="1" ht="17.55" spans="1:26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="1" customFormat="1" ht="17.55" spans="1:26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="1" customFormat="1" ht="17.55" spans="1:26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="1" customFormat="1" ht="17.55" spans="1:26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="1" customFormat="1" ht="17.55" spans="1:26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="1" customFormat="1" ht="17.55" spans="1:2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="1" customFormat="1" ht="17.55" spans="1:26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="1" customFormat="1" ht="17.55" spans="1:26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="1" customFormat="1" ht="17.55" spans="1:26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="1" customFormat="1" ht="17.55" spans="1:26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="1" customFormat="1" ht="17.55" spans="1:26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="1" customFormat="1" ht="17.55" spans="1:26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="1" customFormat="1" ht="17.55" spans="1:26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="1" customFormat="1" ht="17.55" spans="1:26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="1" customFormat="1" ht="17.55" spans="1:26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="1" customFormat="1" ht="17.55" spans="1:2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="1" customFormat="1" ht="17.55" spans="1:26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="1" customFormat="1" ht="17.55" spans="1:26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="1" customFormat="1" ht="17.55" spans="1:26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="1" customFormat="1" ht="17.55" spans="1:26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="1" customFormat="1" ht="17.55" spans="1:26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="1" customFormat="1" ht="17.55" spans="1:26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="1" customFormat="1" ht="17.55" spans="1:26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="1" customFormat="1" ht="17.55" spans="1:26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="1" customFormat="1" ht="17.55" spans="1:26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="1" customFormat="1" ht="17.55" spans="1:2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="1" customFormat="1" ht="17.55" spans="1:26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="1" customFormat="1" ht="17.55" spans="1:26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="1" customFormat="1" ht="17.55" spans="1:26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="1" customFormat="1" ht="17.55" spans="1:26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="1" customFormat="1" ht="17.55" spans="1:26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="1" customFormat="1" ht="17.55" spans="1:26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="1" customFormat="1" ht="17.55" spans="1:26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="1" customFormat="1" ht="17.55" spans="1:26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="1" customFormat="1" ht="17.55" spans="1:26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="1" customFormat="1" ht="17.55" spans="1:2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="1" customFormat="1" ht="17.55" spans="1:26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="1" customFormat="1" ht="17.55" spans="1:26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="1" customFormat="1" ht="17.55" spans="1:26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="1" customFormat="1" ht="17.55" spans="1:26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="1" customFormat="1" ht="17.55" spans="1:26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="1" customFormat="1" ht="17.55" spans="1:26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="1" customFormat="1" ht="17.55" spans="1:26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="1" customFormat="1" ht="17.55" spans="1:26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="1" customFormat="1" ht="17.55" spans="1:26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="1" customFormat="1" ht="17.55" spans="1:2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="1" customFormat="1" ht="17.55" spans="1:26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="1" customFormat="1" ht="17.55" spans="1:26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="1" customFormat="1" ht="17.55" spans="1:26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="1" customFormat="1" ht="17.55" spans="1:26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="1" customFormat="1" ht="17.55" spans="1:26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="1" customFormat="1" ht="17.55" spans="1:26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="1" customFormat="1" ht="17.55" spans="1:26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="1" customFormat="1" ht="17.55" spans="1:26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="1" customFormat="1" ht="17.55" spans="1:26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="1" customFormat="1" ht="17.55" spans="1:2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="1" customFormat="1" ht="17.55" spans="1:26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="1" customFormat="1" ht="17.55" spans="1:26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="1" customFormat="1" ht="17.55" spans="1:26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="1" customFormat="1" ht="17.55" spans="1:26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="1" customFormat="1" ht="17.55" spans="1:26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="1" customFormat="1" ht="17.55" spans="1:26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="1" customFormat="1" ht="17.55" spans="1:26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="1" customFormat="1" ht="17.55" spans="1:26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="1" customFormat="1" ht="17.55" spans="1:26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="1" customFormat="1" ht="17.55" spans="1:2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="1" customFormat="1" ht="17.55" spans="1:26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="1" customFormat="1" ht="17.55" spans="1:26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="1" customFormat="1" ht="17.55" spans="1:26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="1" customFormat="1" ht="17.55" spans="1:26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="1" customFormat="1" ht="17.55" spans="1:26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="1" customFormat="1" ht="17.55" spans="1:26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="1" customFormat="1" ht="17.55" spans="1:26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="1" customFormat="1" ht="17.55" spans="1:26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="1" customFormat="1" ht="17.55" spans="1:26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="1" customFormat="1" ht="17.55" spans="1:2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="1" customFormat="1" ht="17.55" spans="1:26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="1" customFormat="1" ht="17.55" spans="1:26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="1" customFormat="1" ht="17.55" spans="1:26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="1" customFormat="1" ht="17.55" spans="1:26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="1" customFormat="1" ht="17.55" spans="1:26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="1" customFormat="1" ht="17.55" spans="1:26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="1" customFormat="1" ht="17.55" spans="1:26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="1" customFormat="1" ht="17.55" spans="1:26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="1" customFormat="1" ht="17.55" spans="1:26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="1" customFormat="1" ht="17.55" spans="1: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="1" customFormat="1" ht="17.55" spans="1:26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="1" customFormat="1" ht="17.55" spans="1:26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="1" customFormat="1" ht="17.55" spans="1:26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="1" customFormat="1" ht="17.55" spans="1:26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="1" customFormat="1" ht="17.55" spans="1:26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="1" customFormat="1" ht="17.55" spans="1:26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="1" customFormat="1" ht="17.55" spans="1:26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="1" customFormat="1" ht="17.55" spans="1:26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="1" customFormat="1" ht="17.55" spans="1:26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="1" customFormat="1" ht="17.55" spans="1:2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="1" customFormat="1" ht="17.55" spans="1:26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="1" customFormat="1" ht="17.55" spans="1:26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="1" customFormat="1" ht="17.55" spans="1:26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="1" customFormat="1" ht="17.55" spans="1:26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="1" customFormat="1" ht="17.55" spans="1:26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="1" customFormat="1" ht="17.55" spans="1:26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="1" customFormat="1" ht="17.55" spans="1:26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="1" customFormat="1" ht="17.55" spans="1:26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="1" customFormat="1" ht="17.55" spans="1:26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="1" customFormat="1" ht="17.55" spans="1:2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="1" customFormat="1" ht="17.55" spans="1:26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="1" customFormat="1" ht="17.55" spans="1:26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="1" customFormat="1" ht="17.55" spans="1:26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="1" customFormat="1" ht="17.55" spans="1:26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="1" customFormat="1" ht="17.55" spans="1:26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="1" customFormat="1" ht="17.55" spans="1:26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="1" customFormat="1" ht="17.55" spans="1:26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="1" customFormat="1" ht="17.55" spans="1:26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="1" customFormat="1" ht="17.55" spans="1:26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="1" customFormat="1" ht="17.55" spans="1:2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="1" customFormat="1" ht="17.55" spans="1:26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="1" customFormat="1" ht="17.55" spans="1:26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="1" customFormat="1" ht="17.55" spans="1:26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="1" customFormat="1" ht="17.55" spans="1:26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="1" customFormat="1" ht="17.55" spans="1:26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="1" customFormat="1" ht="17.55" spans="1:26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="1" customFormat="1" ht="17.55" spans="1:26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="1" customFormat="1" ht="17.55" spans="1:26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="1" customFormat="1" ht="17.55" spans="1:26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="1" customFormat="1" ht="17.55" spans="1:2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="1" customFormat="1" ht="17.55" spans="1:26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="1" customFormat="1" ht="17.55" spans="1:26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="1" customFormat="1" ht="17.55" spans="1:26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="1" customFormat="1" ht="17.55" spans="1:26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="1" customFormat="1" ht="17.55" spans="1:26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="1" customFormat="1" ht="17.55" spans="1:26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="1" customFormat="1" ht="17.55" spans="1:26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="1" customFormat="1" ht="17.55" spans="1:26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="1" customFormat="1" ht="17.55" spans="1:26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="1" customFormat="1" ht="17.55" spans="1:2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="1" customFormat="1" ht="17.55" spans="1:26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="1" customFormat="1" ht="17.55" spans="1:26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="1" customFormat="1" ht="17.55" spans="1:26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="1" customFormat="1" ht="17.55" spans="1:26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="1" customFormat="1" ht="17.55" spans="1:26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="1" customFormat="1" ht="17.55" spans="1:26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="1" customFormat="1" ht="17.55" spans="1:26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="1" customFormat="1" ht="17.55" spans="1:26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="1" customFormat="1" ht="17.55" spans="1:26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="1" customFormat="1" ht="17.55" spans="1:2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="1" customFormat="1" ht="17.55" spans="1:26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="1" customFormat="1" ht="17.55" spans="1:26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="1" customFormat="1" ht="17.55" spans="1:26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="1" customFormat="1" ht="17.55" spans="1:26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="1" customFormat="1" ht="17.55" spans="1:26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="1" customFormat="1" ht="17.55" spans="1:26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="1" customFormat="1" ht="17.55" spans="1:26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="1" customFormat="1" ht="17.55" spans="1:26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="1" customFormat="1" ht="17.55" spans="1:26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="1" customFormat="1" ht="17.55" spans="1:2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="1" customFormat="1" ht="17.55" spans="1:26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="1" customFormat="1" ht="17.55" spans="1:26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="1" customFormat="1" ht="17.55" spans="1:26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="1" customFormat="1" ht="17.55" spans="1:26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="1" customFormat="1" ht="17.55" spans="1:26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="1" customFormat="1" ht="17.55" spans="1:26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="1" customFormat="1" ht="17.55" spans="1:26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="1" customFormat="1" ht="17.55" spans="1:26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="1" customFormat="1" ht="17.55" spans="1:26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="1" customFormat="1" ht="17.55" spans="1:2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="1" customFormat="1" ht="17.55" spans="1:26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="1" customFormat="1" ht="17.55" spans="1:26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="1" customFormat="1" ht="17.55" spans="1:26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="1" customFormat="1" ht="17.55" spans="1:26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="1" customFormat="1" ht="17.55" spans="1:26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="1" customFormat="1" ht="17.55" spans="1:26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="1" customFormat="1" ht="17.55" spans="1:26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="1" customFormat="1" ht="17.55" spans="1:26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="1" customFormat="1" ht="17.55" spans="1:26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="1" customFormat="1" ht="17.55" spans="1:2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="1" customFormat="1" ht="17.55" spans="1:26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="1" customFormat="1" ht="17.55" spans="1:26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="1" customFormat="1" ht="17.55" spans="1:26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="1" customFormat="1" ht="17.55" spans="1:26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="1" customFormat="1" ht="17.55" spans="1:26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="1" customFormat="1" ht="17.55" spans="1:26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="1" customFormat="1" ht="17.55" spans="1:26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="1" customFormat="1" ht="17.55" spans="1:26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="1" customFormat="1" ht="17.55" spans="1:26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="1" customFormat="1" ht="17.55" spans="1: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="1" customFormat="1" ht="17.55" spans="1:26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="1" customFormat="1" ht="17.55" spans="1:26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="1" customFormat="1" ht="17.55" spans="1:26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="1" customFormat="1" ht="17.55" spans="1:26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="1" customFormat="1" ht="17.55" spans="1:26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="1" customFormat="1" ht="17.55" spans="1:26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="1" customFormat="1" ht="17.55" spans="1:26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="1" customFormat="1" ht="17.55" spans="1:26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="1" customFormat="1" ht="17.55" spans="1:26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="1" customFormat="1" ht="17.55" spans="1:2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="1" customFormat="1" ht="17.55" spans="1:26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="1" customFormat="1" ht="17.55" spans="1:26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="1" customFormat="1" ht="17.55" spans="1:26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="1" customFormat="1" ht="17.55" spans="1:26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="1" customFormat="1" ht="17.55" spans="1:26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="1" customFormat="1" ht="17.55" spans="1:26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="1" customFormat="1" ht="17.55" spans="1:26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="1" customFormat="1" ht="17.55" spans="1:26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="1" customFormat="1" ht="17.55" spans="1:26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="1" customFormat="1" ht="17.55" spans="1:2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="1" customFormat="1" ht="17.55" spans="1:26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="1" customFormat="1" ht="17.55" spans="1:26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="1" customFormat="1" ht="17.55" spans="1:26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="1" customFormat="1" ht="17.55" spans="1:26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="1" customFormat="1" ht="17.55" spans="1:26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="1" customFormat="1" ht="17.55" spans="1:26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="1" customFormat="1" ht="17.55" spans="1:26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="1" customFormat="1" ht="17.55" spans="1:26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="1" customFormat="1" ht="17.55" spans="1:26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="1" customFormat="1" ht="17.55" spans="1:2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="1" customFormat="1" ht="17.55" spans="1:26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="1" customFormat="1" ht="17.55" spans="1:26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="1" customFormat="1" ht="17.55" spans="1:26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="1" customFormat="1" ht="17.55" spans="1:26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="1" customFormat="1" ht="17.55" spans="1:26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="1" customFormat="1" ht="17.55" spans="1:26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="1" customFormat="1" ht="17.55" spans="1:26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="1" customFormat="1" ht="17.55" spans="1:26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="1" customFormat="1" ht="17.55" spans="1:26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="1" customFormat="1" ht="17.55" spans="1:2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="1" customFormat="1" ht="17.55" spans="1:26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="1" customFormat="1" ht="17.55" spans="1:26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="1" customFormat="1" ht="17.55" spans="1:26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="1" customFormat="1" ht="17.55" spans="1:26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="1" customFormat="1" ht="17.55" spans="1:26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="1" customFormat="1" ht="17.55" spans="1:26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="1" customFormat="1" ht="17.55" spans="1:26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="1" customFormat="1" ht="17.55" spans="1:26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="1" customFormat="1" ht="17.55" spans="1:26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="1" customFormat="1" ht="17.55" spans="1:2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="1" customFormat="1" ht="17.55" spans="1:26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="1" customFormat="1" ht="17.55" spans="1:26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="1" customFormat="1" ht="17.55" spans="1:26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="1" customFormat="1" ht="17.55" spans="1:26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="1" customFormat="1" ht="17.55" spans="1:26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="1" customFormat="1" ht="17.55" spans="1:26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="1" customFormat="1" ht="17.55" spans="1:26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="1" customFormat="1" ht="17.55" spans="1:26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="1" customFormat="1" ht="17.55" spans="1:26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="1" customFormat="1" ht="17.55" spans="1:2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="1" customFormat="1" ht="17.55" spans="1:26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="1" customFormat="1" ht="17.55" spans="1:26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="1" customFormat="1" ht="17.55" spans="1:26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="1" customFormat="1" ht="17.55" spans="1:26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="1" customFormat="1" ht="17.55" spans="1:26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="1" customFormat="1" ht="17.55" spans="1:26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="1" customFormat="1" ht="17.55" spans="1:26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="1" customFormat="1" ht="17.55" spans="1:26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="1" customFormat="1" ht="17.55" spans="1:26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="1" customFormat="1" ht="17.55" spans="1:2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="1" customFormat="1" ht="17.55" spans="1:26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="1" customFormat="1" ht="17.55" spans="1:26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="1" customFormat="1" ht="17.55" spans="1:26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="1" customFormat="1" ht="17.55" spans="1:26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="1" customFormat="1" ht="17.55" spans="1:26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="1" customFormat="1" ht="17.55" spans="1:26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="1" customFormat="1" ht="17.55" spans="1:26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="1" customFormat="1" ht="17.55" spans="1:26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="1" customFormat="1" ht="17.55" spans="1:26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="1" customFormat="1" ht="17.55" spans="1:2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="1" customFormat="1" ht="17.55" spans="1:26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="1" customFormat="1" ht="17.55" spans="1:26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="1" customFormat="1" ht="17.55" spans="1:26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="1" customFormat="1" ht="17.55" spans="1:26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="1" customFormat="1" ht="17.55" spans="1:26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="1" customFormat="1" ht="17.55" spans="1:26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="1" customFormat="1" ht="17.55" spans="1:26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="1" customFormat="1" ht="17.55" spans="1:26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="1" customFormat="1" ht="17.55" spans="1:26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="1" customFormat="1" ht="17.55" spans="1:2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="1" customFormat="1" ht="17.55" spans="1:26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="1" customFormat="1" ht="17.55" spans="1:26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="1" customFormat="1" ht="17.55" spans="1:26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="1" customFormat="1" ht="17.55" spans="1:26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="1" customFormat="1" ht="17.55" spans="1:26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="1" customFormat="1" ht="17.55" spans="1:26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="1" customFormat="1" ht="17.55" spans="1:26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="1" customFormat="1" ht="17.55" spans="1:26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="1" customFormat="1" ht="17.55" spans="1:26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="1" customFormat="1" ht="17.55" spans="1: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="1" customFormat="1" ht="17.55" spans="1:26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="1" customFormat="1" ht="17.55" spans="1:26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="1" customFormat="1" ht="17.55" spans="1:26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="1" customFormat="1" ht="17.55" spans="1:26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="1" customFormat="1" ht="17.55" spans="1:26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="1" customFormat="1" ht="17.55" spans="1:26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="1" customFormat="1" ht="17.55" spans="1:26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="1" customFormat="1" ht="17.55" spans="1:26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="1" customFormat="1" ht="17.55" spans="1:26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="1" customFormat="1" ht="17.55" spans="1:2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="1" customFormat="1" ht="17.55" spans="1:26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="1" customFormat="1" ht="17.55" spans="1:26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="1" customFormat="1" ht="17.55" spans="1:26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="1" customFormat="1" ht="17.55" spans="1:26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="1" customFormat="1" ht="17.55" spans="1:26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="1" customFormat="1" ht="17.55" spans="1:26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="1" customFormat="1" ht="17.55" spans="1:26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="1" customFormat="1" ht="17.55" spans="1:26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="1" customFormat="1" ht="17.55" spans="1:26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="1" customFormat="1" ht="17.55" spans="1:2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="1" customFormat="1" ht="17.55" spans="1:26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="1" customFormat="1" ht="17.55" spans="1:26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="1" customFormat="1" ht="17.55" spans="1:26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="1" customFormat="1" ht="17.55" spans="1:26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="1" customFormat="1" ht="17.55" spans="1:26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="1" customFormat="1" ht="17.55" spans="1:26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="1" customFormat="1" ht="17.55" spans="1:26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="1" customFormat="1" ht="17.55" spans="1:26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="1" customFormat="1" ht="17.55" spans="1:26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="1" customFormat="1" ht="17.55" spans="1:2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="1" customFormat="1" ht="17.55" spans="1:26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="1" customFormat="1" ht="17.55" spans="1:26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="1" customFormat="1" ht="17.55" spans="1:26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="1" customFormat="1" ht="17.55" spans="1:26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="1" customFormat="1" ht="17.55" spans="1:26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="1" customFormat="1" ht="17.55" spans="1:26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="1" customFormat="1" ht="17.55" spans="1:26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="1" customFormat="1" ht="17.55" spans="1:26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="1" customFormat="1" ht="17.55" spans="1:26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="1" customFormat="1" ht="17.55" spans="1:2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="1" customFormat="1" ht="17.55" spans="1:26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="1" customFormat="1" ht="17.55" spans="1:26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="1" customFormat="1" ht="17.55" spans="1:26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="1" customFormat="1" ht="17.55" spans="1:26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="1" customFormat="1" ht="17.55" spans="1:26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="1" customFormat="1" ht="17.55" spans="1:26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="1" customFormat="1" ht="17.55" spans="1:26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="1" customFormat="1" ht="17.55" spans="1:26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="1" customFormat="1" ht="17.55" spans="1:26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="1" customFormat="1" ht="17.55" spans="1:2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="1" customFormat="1" ht="17.55" spans="1:26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="1" customFormat="1" ht="17.55" spans="1:26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="1" customFormat="1" ht="17.55" spans="1:26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="1" customFormat="1" ht="17.55" spans="1:26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="1" customFormat="1" ht="17.55" spans="1:26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="1" customFormat="1" ht="17.55" spans="1:26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="1" customFormat="1" ht="17.55" spans="1:26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="1" customFormat="1" ht="17.55" spans="1:26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="1" customFormat="1" ht="17.55" spans="1:26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="1" customFormat="1" ht="17.55" spans="1:2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="1" customFormat="1" ht="17.55" spans="1:26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="1" customFormat="1" ht="17.55" spans="1:26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="1" customFormat="1" ht="17.55" spans="1:26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="1" customFormat="1" ht="17.55" spans="1:26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="1" customFormat="1" ht="17.55" spans="1:26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="1" customFormat="1" ht="17.55" spans="1:26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="1" customFormat="1" ht="17.55" spans="1:26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="1" customFormat="1" ht="17.55" spans="1:26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="1" customFormat="1" ht="17.55" spans="1:26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="1" customFormat="1" ht="17.55" spans="1:2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="1" customFormat="1" ht="17.55" spans="1:26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="1" customFormat="1" ht="17.55" spans="1:26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="1" customFormat="1" ht="17.55" spans="1:26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="1" customFormat="1" ht="17.55" spans="1:26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="1" customFormat="1" ht="17.55" spans="1:26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="1" customFormat="1" ht="17.55" spans="1:26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="1" customFormat="1" ht="17.55" spans="1:26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="1" customFormat="1" ht="17.55" spans="1:26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="1" customFormat="1" ht="17.55" spans="1:26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="1" customFormat="1" ht="17.55" spans="1:2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="1" customFormat="1" ht="17.55" spans="1:26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="1" customFormat="1" ht="17.55" spans="1:26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="1" customFormat="1" ht="17.55" spans="1:26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="1" customFormat="1" ht="17.55" spans="1:26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="1" customFormat="1" ht="17.55" spans="1:26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="1" customFormat="1" ht="17.55" spans="1:26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="1" customFormat="1" ht="17.55" spans="1:26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="1" customFormat="1" ht="17.55" spans="1:26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="1" customFormat="1" ht="17.55" spans="1:26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="1" customFormat="1" ht="17.55" spans="1:2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="1" customFormat="1" ht="17.55" spans="1:26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="1" customFormat="1" ht="17.55" spans="1:26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="1" customFormat="1" ht="17.55" spans="1:26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="1" customFormat="1" ht="17.55" spans="1:26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="1" customFormat="1" ht="17.55" spans="1:26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="1" customFormat="1" ht="17.55" spans="1:26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="1" customFormat="1" ht="17.55" spans="1:26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="1" customFormat="1" ht="17.55" spans="1:26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="1" customFormat="1" ht="17.55" spans="1:26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="1" customFormat="1" ht="17.55" spans="1: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="1" customFormat="1" ht="17.55" spans="1:26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="1" customFormat="1" ht="17.55" spans="1:26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="1" customFormat="1" ht="17.55" spans="1:26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="1" customFormat="1" ht="17.55" spans="1:26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="1" customFormat="1" ht="17.55" spans="1:26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="1" customFormat="1" ht="17.55" spans="1:26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="1" customFormat="1" ht="17.55" spans="1:26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="1" customFormat="1" ht="17.55" spans="1:26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="1" customFormat="1" ht="17.55" spans="1:26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="1" customFormat="1" ht="17.55" spans="1:2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="1" customFormat="1" ht="17.55" spans="1:26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="1" customFormat="1" ht="17.55" spans="1:26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="1" customFormat="1" ht="17.55" spans="1:26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="1" customFormat="1" ht="17.55" spans="1:26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="1" customFormat="1" ht="17.55" spans="1:26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="1" customFormat="1" ht="17.55" spans="1:26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="1" customFormat="1" ht="17.55" spans="1:26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="1" customFormat="1" ht="17.55" spans="1:26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="1" customFormat="1" ht="17.55" spans="1:26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="1" customFormat="1" ht="17.55" spans="1:2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="1" customFormat="1" ht="17.55" spans="1:26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="1" customFormat="1" ht="17.55" spans="1:26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="1" customFormat="1" ht="17.55" spans="1:26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="1" customFormat="1" ht="17.55" spans="1:26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="1" customFormat="1" ht="17.55" spans="1:26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="1" customFormat="1" ht="17.55" spans="1:26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="1" customFormat="1" ht="17.55" spans="1:26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="1" customFormat="1" ht="17.55" spans="1:26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="1" customFormat="1" ht="17.55" spans="1:26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="1" customFormat="1" ht="17.55" spans="1:2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="1" customFormat="1" ht="17.55" spans="1:26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="1" customFormat="1" ht="17.55" spans="1:26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="1" customFormat="1" ht="17.55" spans="1:26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="1" customFormat="1" ht="17.55" spans="1:26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="1" customFormat="1" ht="17.55" spans="1:26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="1" customFormat="1" ht="17.55" spans="1:26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="1" customFormat="1" ht="17.55" spans="1:26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="1" customFormat="1" ht="17.55" spans="1:26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="1" customFormat="1" ht="17.55" spans="1:26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="1" customFormat="1" ht="17.55" spans="1:2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="1" customFormat="1" ht="17.55" spans="1:26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="1" customFormat="1" ht="17.55" spans="1:26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="1" customFormat="1" ht="17.55" spans="1:26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="1" customFormat="1" ht="17.55" spans="1:26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="1" customFormat="1" ht="17.55" spans="1:26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="1" customFormat="1" ht="17.55" spans="1:26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="1" customFormat="1" ht="17.55" spans="1:26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="1" customFormat="1" ht="17.55" spans="1:26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="1" customFormat="1" ht="17.55" spans="1:26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="1" customFormat="1" ht="17.55" spans="1:2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="1" customFormat="1" ht="17.55" spans="1:26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="1" customFormat="1" ht="17.55" spans="1:26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="1" customFormat="1" ht="17.55" spans="1:26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="1" customFormat="1" ht="17.55" spans="1:26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="1" customFormat="1" ht="17.55" spans="1:26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="1" customFormat="1" ht="17.55" spans="1:26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="1" customFormat="1" ht="17.55" spans="1:26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="1" customFormat="1" ht="17.55" spans="1:26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="1" customFormat="1" ht="17.55" spans="1:26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="1" customFormat="1" ht="17.55" spans="1:2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="1" customFormat="1" ht="17.55" spans="1:26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="1" customFormat="1" ht="17.55" spans="1:26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="1" customFormat="1" ht="17.55" spans="1:26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="1" customFormat="1" ht="17.55" spans="1:26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="1" customFormat="1" ht="17.55" spans="1:26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="1" customFormat="1" ht="17.55" spans="1:26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="1" customFormat="1" ht="17.55" spans="1:26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="1" customFormat="1" ht="17.55" spans="1:26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="1" customFormat="1" ht="17.55" spans="1:26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="1" customFormat="1" ht="17.55" spans="1:2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="1" customFormat="1" ht="17.55" spans="1:26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="1" customFormat="1" ht="17.55" spans="1:26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="1" customFormat="1" ht="17.55" spans="1:26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="1" customFormat="1" ht="17.55" spans="1:26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="1" customFormat="1" ht="17.55" spans="1:26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="1" customFormat="1" ht="17.55" spans="1:26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="1" customFormat="1" ht="17.55" spans="1:26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="1" customFormat="1" ht="17.55" spans="1:26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="1" customFormat="1" ht="17.55" spans="1:26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="1" customFormat="1" ht="17.55" spans="1:2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="1" customFormat="1" ht="17.55" spans="1:26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="1" customFormat="1" ht="17.55" spans="1:26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="1" customFormat="1" ht="17.55" spans="1:26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="1" customFormat="1" ht="17.55" spans="1:26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="1" customFormat="1" ht="17.55" spans="1:26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="1" customFormat="1" ht="17.55" spans="1:26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="1" customFormat="1" ht="17.55" spans="1:26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="1" customFormat="1" ht="17.55" spans="1:26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="1" customFormat="1" ht="17.55" spans="1:26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="1" customFormat="1" ht="17.55" spans="1:2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="1" customFormat="1" ht="17.55" spans="1:26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="1" customFormat="1" ht="17.55" spans="1:26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="1" customFormat="1" ht="17.55" spans="1:26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="1" customFormat="1" ht="17.55" spans="1:26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="1" customFormat="1" ht="17.55" spans="1:26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="1" customFormat="1" ht="17.55" spans="1:26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="1" customFormat="1" ht="17.55" spans="1:26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="1" customFormat="1" ht="17.55" spans="1:26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="1" customFormat="1" ht="17.55" spans="1:26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="1" customFormat="1" ht="17.55" spans="1: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="1" customFormat="1" ht="17.55" spans="1:26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="1" customFormat="1" ht="17.55" spans="1:26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="1" customFormat="1" ht="17.55" spans="1:26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="1" customFormat="1" ht="17.55" spans="1:26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="1" customFormat="1" ht="17.55" spans="1:26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="1" customFormat="1" ht="17.55" spans="1:26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="1" customFormat="1" ht="17.55" spans="1:26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="1" customFormat="1" ht="17.55" spans="1:26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="1" customFormat="1" ht="17.55" spans="1:26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="1" customFormat="1" ht="17.55" spans="1:2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="1" customFormat="1" ht="17.55" spans="1:26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="1" customFormat="1" ht="17.55" spans="1:26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="1" customFormat="1" ht="17.55" spans="1:26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="1" customFormat="1" ht="17.55" spans="1:26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="1" customFormat="1" ht="17.55" spans="1:26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="1" customFormat="1" ht="17.55" spans="1:26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="1" customFormat="1" ht="17.55" spans="1:26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="1" customFormat="1" ht="17.55" spans="1:26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="1" customFormat="1" ht="17.55" spans="1:26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="1" customFormat="1" ht="17.55" spans="1:2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="1" customFormat="1" ht="17.55" spans="1:26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="1" customFormat="1" ht="17.55" spans="1:26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="1" customFormat="1" ht="17.55" spans="1:26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="1" customFormat="1" ht="17.55" spans="1:26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="1" customFormat="1" ht="17.55" spans="1:26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="1" customFormat="1" ht="17.55" spans="1:26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="1" customFormat="1" ht="17.55" spans="1:26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="1" customFormat="1" ht="17.55" spans="1:26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="1" customFormat="1" ht="17.55" spans="1:26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="1" customFormat="1" ht="17.55" spans="1:2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="1" customFormat="1" ht="17.55" spans="1:26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="1" customFormat="1" ht="17.55" spans="1:26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="1" customFormat="1" ht="17.55" spans="1:26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="1" customFormat="1" ht="17.55" spans="1:26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="1" customFormat="1" ht="17.55" spans="1:26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="1" customFormat="1" ht="17.55" spans="1:26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="1" customFormat="1" ht="17.55" spans="1:26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="1" customFormat="1" ht="17.55" spans="1:26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="1" customFormat="1" ht="17.55" spans="1:26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="1" customFormat="1" ht="17.55" spans="1:2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="1" customFormat="1" ht="17.55" spans="1:26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="1" customFormat="1" ht="17.55" spans="1:26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="1" customFormat="1" ht="17.55" spans="1:26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="1" customFormat="1" ht="17.55" spans="1:26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="1" customFormat="1" ht="17.55" spans="1:26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="1" customFormat="1" ht="17.55" spans="1:26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="1" customFormat="1" ht="17.55" spans="1:26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="1" customFormat="1" ht="17.55" spans="1:26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="1" customFormat="1" ht="17.55" spans="1:26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="1" customFormat="1" ht="17.55" spans="1:2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="1" customFormat="1" ht="17.55" spans="1:26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="1" customFormat="1" ht="17.55" spans="1:26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="1" customFormat="1" ht="17.55" spans="1:26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="1" customFormat="1" ht="17.55" spans="1:26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="1" customFormat="1" ht="17.55" spans="1:26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="1" customFormat="1" ht="17.55" spans="1:26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="1" customFormat="1" ht="17.55" spans="1:26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="1" customFormat="1" ht="17.55" spans="1:26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="1" customFormat="1" ht="17.55" spans="1:26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="1" customFormat="1" ht="17.55" spans="1:2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="1" customFormat="1" ht="17.55" spans="1:26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="1" customFormat="1" ht="17.55" spans="1:26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="1" customFormat="1" ht="17.55" spans="1:26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="1" customFormat="1" ht="17.55" spans="1:26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="1" customFormat="1" ht="17.55" spans="1:26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="1" customFormat="1" ht="17.55" spans="1:26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="1" customFormat="1" ht="17.55" spans="1:26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="1" customFormat="1" ht="17.55" spans="1:26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="1" customFormat="1" ht="17.55" spans="1:26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="1" customFormat="1" ht="17.55" spans="1:2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="1" customFormat="1" ht="17.55" spans="1:26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="1" customFormat="1" ht="17.55" spans="1:26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="1" customFormat="1" ht="17.55" spans="1:26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="1" customFormat="1" ht="17.55" spans="1:26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="1" customFormat="1" ht="17.55" spans="1:26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="1" customFormat="1" ht="17.55" spans="1:26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="1" customFormat="1" ht="17.55" spans="1:26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="1" customFormat="1" ht="17.55" spans="1:26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="1" customFormat="1" ht="17.55" spans="1:26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="1" customFormat="1" ht="17.55" spans="1:2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="1" customFormat="1" ht="17.55" spans="1:26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="1" customFormat="1" ht="17.55" spans="1:26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="1" customFormat="1" ht="17.55" spans="1:26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="1" customFormat="1" ht="17.55" spans="1:26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="1" customFormat="1" ht="17.55" spans="1:26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="1" customFormat="1" ht="17.55" spans="1:26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="1" customFormat="1" ht="17.55" spans="1:26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="1" customFormat="1" ht="17.55" spans="1:26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="1" customFormat="1" ht="17.55" spans="1:26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="1" customFormat="1" ht="17.55" spans="1:2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="1" customFormat="1" ht="17.55" spans="1:26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="1" customFormat="1" ht="17.55" spans="1:26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="1" customFormat="1" ht="17.55" spans="1:26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="1" customFormat="1" ht="17.55" spans="1:26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="1" customFormat="1" ht="17.55" spans="1:26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="1" customFormat="1" ht="17.55" spans="1:26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="1" customFormat="1" ht="17.55" spans="1:26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="1" customFormat="1" ht="17.55" spans="1:26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="1" customFormat="1" ht="17.55" spans="1:26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="1" customFormat="1" ht="17.55" spans="1: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="1" customFormat="1" ht="17.55" spans="1:26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="1" customFormat="1" ht="17.55" spans="1:26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="1" customFormat="1" ht="17.55" spans="1:26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="1" customFormat="1" ht="17.55" spans="1:26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="1" customFormat="1" ht="17.55" spans="1:26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="1" customFormat="1" ht="17.55" spans="1:26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="1" customFormat="1" ht="17.55" spans="1:26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="1" customFormat="1" ht="17.55" spans="1:26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="1" customFormat="1" ht="17.55" spans="1:26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="1" customFormat="1" ht="17.55" spans="1:2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="1" customFormat="1" ht="17.55" spans="1:26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="1" customFormat="1" ht="17.55" spans="1:26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="1" customFormat="1" ht="17.55" spans="1:26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="1" customFormat="1" ht="17.55" spans="1:26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="1" customFormat="1" ht="17.55" spans="1:26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="1" customFormat="1" ht="17.55" spans="1:26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="1" customFormat="1" ht="17.55" spans="1:26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="1" customFormat="1" ht="17.55" spans="1:26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="1" customFormat="1" ht="17.55" spans="1:26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="1" customFormat="1" ht="17.55" spans="1:2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="1" customFormat="1" ht="17.55" spans="1:26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="1" customFormat="1" ht="17.55" spans="1:26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="1" customFormat="1" ht="17.55" spans="1:26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="1" customFormat="1" ht="17.55" spans="1:26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="1" customFormat="1" ht="17.55" spans="1:26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="1" customFormat="1" ht="17.55" spans="1:26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="1" customFormat="1" ht="17.55" spans="1:26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="1" customFormat="1" ht="17.55" spans="1:26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="1" customFormat="1" ht="17.55" spans="1:26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="1" customFormat="1" ht="17.55" spans="1:2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="1" customFormat="1" ht="17.55" spans="1:26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="1" customFormat="1" ht="17.55" spans="1:26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="1" customFormat="1" ht="17.55" spans="1:26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="1" customFormat="1" ht="17.55" spans="1:26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="1" customFormat="1" ht="17.55" spans="1:26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="1" customFormat="1" ht="17.55" spans="1:26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="1" customFormat="1" ht="17.55" spans="1:26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="1" customFormat="1" ht="17.55" spans="1:26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="1" customFormat="1" ht="17.55" spans="1:26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="1" customFormat="1" ht="17.55" spans="1:2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="1" customFormat="1" ht="17.55" spans="1:26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="1" customFormat="1" ht="17.55" spans="1:26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="1" customFormat="1" ht="17.55" spans="1:26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="1" customFormat="1" ht="17.55" spans="1:26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="1" customFormat="1" ht="17.55" spans="1:26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="1" customFormat="1" ht="17.55" spans="1:26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="1" customFormat="1" ht="17.55" spans="1:26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="1" customFormat="1" ht="17.55" spans="1:26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="1" customFormat="1" ht="17.55" spans="1:26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="1" customFormat="1" ht="17.55" spans="1:2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="1" customFormat="1" ht="17.55" spans="1:26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="1" customFormat="1" ht="17.55" spans="1:26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="1" customFormat="1" ht="17.55" spans="1:26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="1" customFormat="1" ht="17.55" spans="1:26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="1" customFormat="1" ht="17.55" spans="1:26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="1" customFormat="1" ht="17.55" spans="1:26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="1" customFormat="1" ht="17.55" spans="1:26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="1" customFormat="1" ht="17.55" spans="1:26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="1" customFormat="1" ht="17.55" spans="1:26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="1" customFormat="1" ht="17.55" spans="1:2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="1" customFormat="1" ht="17.55" spans="1:26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="1" customFormat="1" ht="17.55" spans="1:26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="1" customFormat="1" ht="17.55" spans="1:26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="1" customFormat="1" ht="17.55" spans="1:26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="1" customFormat="1" ht="17.55" spans="1:26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="1" customFormat="1" ht="17.55" spans="1:26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="1" customFormat="1" ht="17.55" spans="1:26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="1" customFormat="1" ht="17.55" spans="1:26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="1" customFormat="1" ht="17.55" spans="1:26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="1" customFormat="1" ht="17.55" spans="1:2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="1" customFormat="1" ht="17.55" spans="1:26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="1" customFormat="1" ht="17.55" spans="1:26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="1" customFormat="1" ht="17.55" spans="1:26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="1" customFormat="1" ht="17.55" spans="1:26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="1" customFormat="1" ht="17.55" spans="1:26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="1" customFormat="1" ht="17.55" spans="1:26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="1" customFormat="1" ht="17.55" spans="1:26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="1" customFormat="1" ht="17.55" spans="1:26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="1" customFormat="1" ht="17.55" spans="1:26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="1" customFormat="1" ht="17.55" spans="1:2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="1" customFormat="1" ht="17.55" spans="1:26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="1" customFormat="1" ht="17.55" spans="1:26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="1" customFormat="1" ht="17.55" spans="1:26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="1" customFormat="1" ht="17.55" spans="1:26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="1" customFormat="1" ht="17.55" spans="1:26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="1" customFormat="1" ht="17.55" spans="1:26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="1" customFormat="1" ht="17.55" spans="1:26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="1" customFormat="1" ht="17.55" spans="1:26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="1" customFormat="1" ht="17.55" spans="1:26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="1" customFormat="1" ht="17.55" spans="1:2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="1" customFormat="1" ht="17.55" spans="1:26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="1" customFormat="1" ht="17.55" spans="1:26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="1" customFormat="1" ht="17.55" spans="1:26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="1" customFormat="1" ht="17.55" spans="1:26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="1" customFormat="1" ht="17.55" spans="1:26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="1" customFormat="1" ht="17.55" spans="1:26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="1" customFormat="1" ht="17.55" spans="1:26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="1" customFormat="1" ht="17.55" spans="1:26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="1" customFormat="1" ht="17.55" spans="1:26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="1" customFormat="1" ht="17.55" spans="1: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="1" customFormat="1" ht="17.55" spans="1:26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="1" customFormat="1" ht="17.55" spans="1:26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="1" customFormat="1" ht="17.55" spans="1:26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="1" customFormat="1" ht="17.55" spans="1:26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="1" customFormat="1" ht="17.55" spans="1:26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="1" customFormat="1" ht="17.55" spans="1:26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="1" customFormat="1" ht="17.55" spans="1:26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="1" customFormat="1" ht="17.55" spans="1:26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="1" customFormat="1" ht="17.55" spans="1:26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="1" customFormat="1" ht="17.55" spans="1:2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="1" customFormat="1" ht="17.55" spans="1:26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="1" customFormat="1" ht="17.55" spans="1:26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="1" customFormat="1" ht="17.55" spans="1:26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="1" customFormat="1" ht="17.55" spans="1:26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="1" customFormat="1" ht="17.55" spans="1:26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="1" customFormat="1" ht="17.55" spans="1:26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="1" customFormat="1" ht="17.55" spans="1:26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="1" customFormat="1" ht="17.55" spans="1:26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="1" customFormat="1" ht="17.55" spans="1:26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="1" customFormat="1" ht="17.55" spans="1:2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="1" customFormat="1" ht="17.55" spans="1:26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="1" customFormat="1" ht="17.55" spans="1:26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="1" customFormat="1" ht="17.55" spans="1:26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="1" customFormat="1" ht="17.55" spans="1:26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="1" customFormat="1" ht="17.55" spans="1:26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="1" customFormat="1" ht="17.55" spans="1:26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="1" customFormat="1" ht="17.55" spans="1:26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="1" customFormat="1" ht="17.55" spans="1:26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="1" customFormat="1" ht="17.55" spans="1:26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="1" customFormat="1" ht="17.55" spans="1:2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="1" customFormat="1" ht="17.55" spans="1:26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="1" customFormat="1" ht="17.55" spans="1:26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="1" customFormat="1" ht="17.55" spans="1:26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="1" customFormat="1" ht="17.55" spans="1:26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="1" customFormat="1" ht="17.55" spans="1:26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="1" customFormat="1" ht="17.55" spans="1:26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="1" customFormat="1" ht="17.55" spans="1:26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="1" customFormat="1" ht="17.55" spans="1:26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="1" customFormat="1" ht="17.55" spans="1:26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="1" customFormat="1" ht="17.55" spans="1:2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="1" customFormat="1" ht="17.55" spans="1:26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="1" customFormat="1" ht="17.55" spans="1:26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="1" customFormat="1" ht="17.55" spans="1:26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="1" customFormat="1" ht="17.55" spans="1:26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="1" customFormat="1" ht="17.55" spans="1:26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="1" customFormat="1" ht="17.55" spans="1:26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="1" customFormat="1" ht="17.55" spans="1:26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="1" customFormat="1" ht="17.55" spans="1:26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="1" customFormat="1" ht="17.55" spans="1:26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="1" customFormat="1" ht="17.55" spans="1:2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="1" customFormat="1" ht="17.55" spans="1:26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="1" customFormat="1" ht="17.55" spans="1:26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="1" customFormat="1" ht="17.55" spans="1:26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="1" customFormat="1" ht="17.55" spans="1:26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="1" customFormat="1" ht="17.55" spans="1:26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="1" customFormat="1" ht="17.55" spans="1:26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="1" customFormat="1" ht="17.55" spans="1:26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="1" customFormat="1" ht="17.55" spans="1:26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="1" customFormat="1" ht="17.55" spans="1:26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="1" customFormat="1" ht="17.55" spans="1:2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="1" customFormat="1" ht="17.55" spans="1:26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="1" customFormat="1" ht="17.55" spans="1:26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="1" customFormat="1" ht="17.55" spans="1:26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="1" customFormat="1" ht="17.55" spans="1:26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="1" customFormat="1" ht="17.55" spans="1:26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="1" customFormat="1" ht="17.55" spans="1:26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="1" customFormat="1" ht="17.55" spans="1:26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="1" customFormat="1" ht="17.55" spans="1:26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="1" customFormat="1" ht="17.55" spans="1:26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="1" customFormat="1" ht="17.55" spans="1:2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="1" customFormat="1" ht="17.55" spans="1:26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="1" customFormat="1" ht="17.55" spans="1:26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="1" customFormat="1" ht="17.55" spans="1:26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="1" customFormat="1" ht="17.55" spans="1:26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="1" customFormat="1" ht="17.55" spans="1:26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="1" customFormat="1" ht="17.55" spans="1:26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="1" customFormat="1" ht="17.55" spans="1:26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="1" customFormat="1" ht="17.55" spans="1:26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="1" customFormat="1" ht="17.55" spans="1:26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="1" customFormat="1" ht="17.55" spans="1:2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="1" customFormat="1" ht="17.55" spans="1:26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="1" customFormat="1" ht="17.55" spans="1:26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="1" customFormat="1" ht="17.55" spans="1:26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="1" customFormat="1" ht="17.55" spans="1:26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="1" customFormat="1" ht="17.55" spans="1:26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="1" customFormat="1" ht="17.55" spans="1:26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="1" customFormat="1" ht="17.55" spans="1:26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="1" customFormat="1" ht="17.55" spans="1:26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="1" customFormat="1" ht="17.55" spans="1:26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="1" customFormat="1" ht="17.55" spans="1:2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="1" customFormat="1" ht="17.55" spans="1:26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="1" customFormat="1" ht="17.55" spans="1:26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="1" customFormat="1" ht="17.55" spans="1:26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="1" customFormat="1" ht="17.55" spans="1:26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="1" customFormat="1" ht="17.55" spans="1:26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="1" customFormat="1" ht="17.55" spans="1:26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="1" customFormat="1" ht="17.55" spans="1:26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="1" customFormat="1" ht="17.55" spans="1:26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="1" customFormat="1" ht="17.55" spans="1:26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="1" customFormat="1" ht="17.55" spans="1: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="1" customFormat="1" ht="17.55" spans="1:26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="1" customFormat="1" ht="17.55" spans="1:26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="1" customFormat="1" ht="17.55" spans="1:26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="1" customFormat="1" ht="17.55" spans="1:26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="1" customFormat="1" ht="17.55" spans="1:26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="1" customFormat="1" ht="17.55" spans="1:26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="1" customFormat="1" ht="17.55" spans="1:26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="1" customFormat="1" ht="17.55" spans="1:26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="1" customFormat="1" ht="17.55" spans="1:26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="1" customFormat="1" ht="17.55" spans="1:2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="1" customFormat="1" ht="17.55" spans="1:26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="1" customFormat="1" ht="17.55" spans="1:26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="1" customFormat="1" ht="17.55" spans="1:26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="1" customFormat="1" ht="17.55" spans="1:26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="1" customFormat="1" ht="17.55" spans="1:26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="1" customFormat="1" ht="17.55" spans="1:26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="1" customFormat="1" ht="17.55" spans="1:26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="1" customFormat="1" ht="17.55" spans="1:26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="1" customFormat="1" ht="17.55" spans="1:26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="1" customFormat="1" ht="17.55" spans="1:2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="1" customFormat="1" ht="17.55" spans="1:26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="1" customFormat="1" ht="17.55" spans="1:26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="1" customFormat="1" ht="17.55" spans="1:26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="1" customFormat="1" ht="17.55" spans="1:26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="1" customFormat="1" ht="17.55" spans="1:26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="1" customFormat="1" ht="17.55" spans="1:26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="1" customFormat="1" ht="17.55" spans="1:26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="1" customFormat="1" ht="17.55" spans="1:26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="1" customFormat="1" ht="17.55" spans="1:26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="1" customFormat="1" ht="17.55" spans="1:2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="1" customFormat="1" ht="17.55" spans="1:26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="1" customFormat="1" ht="17.55" spans="1:26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="1" customFormat="1" ht="17.55" spans="1:26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="1" customFormat="1" ht="17.55" spans="1:26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="1" customFormat="1" ht="17.55" spans="1:26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="1" customFormat="1" ht="17.55" spans="1:26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="1" customFormat="1" ht="17.55" spans="1:26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="1" customFormat="1" ht="17.55" spans="1:26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="1" customFormat="1" ht="17.55" spans="1:26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="1" customFormat="1" ht="17.55" spans="1:2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="1" customFormat="1" ht="17.55" spans="1:26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="1" customFormat="1" ht="17.55" spans="1:26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="1" customFormat="1" ht="17.55" spans="1:26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="1" customFormat="1" ht="17.55" spans="1:26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="1" customFormat="1" ht="17.55" spans="1:26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="1" customFormat="1" ht="17.55" spans="1:26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="1" customFormat="1" ht="17.55" spans="1:26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="1" customFormat="1" ht="17.55" spans="1:26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="1" customFormat="1" ht="17.55" spans="1:26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="1" customFormat="1" ht="17.55" spans="1:2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="1" customFormat="1" ht="17.55" spans="1:26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="1" customFormat="1" ht="17.55" spans="1:26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="1" customFormat="1" ht="17.55" spans="1:26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="1" customFormat="1" ht="17.55" spans="1:26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="1" customFormat="1" ht="17.55" spans="1:26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="1" customFormat="1" ht="17.55" spans="1:26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="1" customFormat="1" ht="17.55" spans="1:26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="1" customFormat="1" ht="17.55" spans="1:26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="1" customFormat="1" ht="17.55" spans="1:26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="1" customFormat="1" ht="17.55" spans="1:2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="1" customFormat="1" ht="17.55" spans="1:26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="1" customFormat="1" ht="17.55" spans="1:26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="1" customFormat="1" ht="17.55" spans="1:26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="1" customFormat="1" ht="17.55" spans="1:26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="1" customFormat="1" ht="17.55" spans="1:26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="1" customFormat="1" ht="17.55" spans="1:26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="1" customFormat="1" ht="17.55" spans="1:26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="1" customFormat="1" ht="17.55" spans="1:26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="1" customFormat="1" ht="17.55" spans="1:26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="1" customFormat="1" ht="17.55" spans="1:2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="1" customFormat="1" ht="17.55" spans="1:26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="1" customFormat="1" ht="17.55" spans="1:26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="1" customFormat="1" ht="17.55" spans="1:26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="1" customFormat="1" ht="17.55" spans="1:26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s="1" customFormat="1" ht="17.55" spans="1:26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s="1" customFormat="1" ht="17.55" spans="1:26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s="1" customFormat="1" ht="17.55" spans="1:26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s="1" customFormat="1" ht="17.55" spans="1:26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s="1" customFormat="1" ht="17.55" spans="1:26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s="1" customFormat="1" ht="17.55" spans="1:2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s="1" customFormat="1" ht="17.55" spans="1:26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s="1" customFormat="1" ht="17.55" spans="1:26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s="1" customFormat="1" ht="17.55" spans="1:26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s="1" customFormat="1" ht="17.55" spans="1:26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s="1" customFormat="1" ht="17.55" spans="1:26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s="1" customFormat="1" ht="17.55" spans="1:26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s="1" customFormat="1" ht="17.55" spans="1:26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s="1" customFormat="1" ht="17.55" spans="1:26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s="1" customFormat="1" ht="17.55" spans="1:26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s="1" customFormat="1" ht="17.55" spans="1:2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s="1" customFormat="1" ht="17.55" spans="1:26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s="1" customFormat="1" ht="17.55" spans="1:26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s="1" customFormat="1" ht="17.55" spans="1:26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s="1" customFormat="1" ht="17.55" spans="1:26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s="1" customFormat="1" ht="17.55" spans="6:7">
      <c r="F1021" s="7"/>
      <c r="G1021" s="7"/>
    </row>
  </sheetData>
  <mergeCells count="6">
    <mergeCell ref="A4:G4"/>
    <mergeCell ref="B7:C7"/>
    <mergeCell ref="A15:B15"/>
    <mergeCell ref="A8:A10"/>
    <mergeCell ref="A11:A14"/>
    <mergeCell ref="A52:A5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TestReportSprint1</vt:lpstr>
      <vt:lpstr>TestReportSprint2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Long Hoàng</cp:lastModifiedBy>
  <dcterms:created xsi:type="dcterms:W3CDTF">2021-03-25T14:33:00Z</dcterms:created>
  <dcterms:modified xsi:type="dcterms:W3CDTF">2026-05-10T08:09:13Z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A33F838CAB8C4EBBA8874EFE5540D958_12</vt:lpwstr>
  </property>
  <property fmtid="{D5CDD505-2E9C-101B-9397-08002B2CF9AE}" pid="3" name="KSOProductBuildVer">
    <vt:lpwstr>2057-12.2.0.23202</vt:lpwstr>
  </property>
</Properties>
</file>